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Tasks" sheetId="2" r:id="rId6"/>
    <sheet state="visible" name="Project details" sheetId="3" r:id="rId7"/>
    <sheet state="visible" name="Budgets" sheetId="4" r:id="rId8"/>
    <sheet state="visible" name="Services" sheetId="5" r:id="rId9"/>
    <sheet state="visible" name="Plant Monitoring" sheetId="6" r:id="rId10"/>
    <sheet state="visible" name="Activities" sheetId="7" r:id="rId11"/>
  </sheets>
  <definedNames>
    <definedName hidden="1" localSheetId="5" name="_xlnm._FilterDatabase">'Plant Monitoring'!$A$1:$G$188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0">
      <text>
        <t xml:space="preserve">Plant Details, 
Username:  vignaeshwar.10@gmail.com 
Password: Solar123
System Commissioned on 31st Dec 2024 
Panel Make : VIKRAM /Bifacial / 545 Wp / 6 Nos
Inverter Make : FESTON / 3 KWP /Single Phase / SN:2404114437</t>
      </text>
    </comment>
  </commentList>
</comments>
</file>

<file path=xl/sharedStrings.xml><?xml version="1.0" encoding="utf-8"?>
<sst xmlns="http://schemas.openxmlformats.org/spreadsheetml/2006/main" count="4023" uniqueCount="1466">
  <si>
    <t>S.No</t>
  </si>
  <si>
    <t>Project Name</t>
  </si>
  <si>
    <t>Size</t>
  </si>
  <si>
    <t>Status</t>
  </si>
  <si>
    <t>Location</t>
  </si>
  <si>
    <t>Folder Link</t>
  </si>
  <si>
    <t>Years</t>
  </si>
  <si>
    <t>Remarks</t>
  </si>
  <si>
    <t>BBCL Midland</t>
  </si>
  <si>
    <t>Completed</t>
  </si>
  <si>
    <t>Navalur</t>
  </si>
  <si>
    <t>Zebronics</t>
  </si>
  <si>
    <t>Rayapettai</t>
  </si>
  <si>
    <t>Dr Sivabalan</t>
  </si>
  <si>
    <t>Nolambur</t>
  </si>
  <si>
    <t>Indus Allaiance</t>
  </si>
  <si>
    <t>Anna Nagar</t>
  </si>
  <si>
    <t>Mr Srinivasan</t>
  </si>
  <si>
    <t>Panaiyur</t>
  </si>
  <si>
    <t>Ramaniyam Subham</t>
  </si>
  <si>
    <t>Besant Nagar</t>
  </si>
  <si>
    <t>Ramaniyam Sasta</t>
  </si>
  <si>
    <t>Nungambakkam</t>
  </si>
  <si>
    <t>Ramaniya Syndicate</t>
  </si>
  <si>
    <t>Adyar</t>
  </si>
  <si>
    <t>DRA Homes</t>
  </si>
  <si>
    <t>Mr Rajesh</t>
  </si>
  <si>
    <t>Dr Sridhar</t>
  </si>
  <si>
    <t>Thambaram</t>
  </si>
  <si>
    <t>Mr Varun</t>
  </si>
  <si>
    <t>Mr Muthu</t>
  </si>
  <si>
    <t>ECR</t>
  </si>
  <si>
    <t>Lancor TCP Altura</t>
  </si>
  <si>
    <t>Solinganallur</t>
  </si>
  <si>
    <t>Sribalaji Lancor</t>
  </si>
  <si>
    <t>L&amp;T</t>
  </si>
  <si>
    <t>RA Puram</t>
  </si>
  <si>
    <t>Navins Hanging Garden</t>
  </si>
  <si>
    <t>Valasaravakkam</t>
  </si>
  <si>
    <t>Ramaniyam Senate</t>
  </si>
  <si>
    <t>K K Nagar</t>
  </si>
  <si>
    <t>Ramaniyam Kalpataru</t>
  </si>
  <si>
    <t>Ashok Nagar</t>
  </si>
  <si>
    <t>SSBPL KS Avanue</t>
  </si>
  <si>
    <t>Mylapore</t>
  </si>
  <si>
    <t>Chettinad Hospital</t>
  </si>
  <si>
    <t>Mahabalipuram</t>
  </si>
  <si>
    <t>Hari Shree Senior School</t>
  </si>
  <si>
    <t>Hari Shree Junior School</t>
  </si>
  <si>
    <t>Ceebros boulevard</t>
  </si>
  <si>
    <t>Thuraipakkam</t>
  </si>
  <si>
    <t>Radiance Flourish</t>
  </si>
  <si>
    <t>Thiruvotriyur</t>
  </si>
  <si>
    <t>Enexio Fill Factory</t>
  </si>
  <si>
    <t>Puduvayal</t>
  </si>
  <si>
    <t>Abirami Eng Cons &amp; Co</t>
  </si>
  <si>
    <t>Meter Client Scope</t>
  </si>
  <si>
    <t>Shenoy Nagar</t>
  </si>
  <si>
    <t>Mr Karthikeyan / TVS Hamlet</t>
  </si>
  <si>
    <t>Karapakkam</t>
  </si>
  <si>
    <t>RWD Grand Corridor</t>
  </si>
  <si>
    <t>Poonamalle</t>
  </si>
  <si>
    <t>Jains Anarghya</t>
  </si>
  <si>
    <t>Pallikaranai</t>
  </si>
  <si>
    <t>Jains Aadheeswar</t>
  </si>
  <si>
    <t>Manapakkam</t>
  </si>
  <si>
    <t>Jains Advaya</t>
  </si>
  <si>
    <t>Holding from Shiroi</t>
  </si>
  <si>
    <t>Kouvur</t>
  </si>
  <si>
    <t>Mr Rathinam</t>
  </si>
  <si>
    <t>Mr Anandan</t>
  </si>
  <si>
    <t>Ramaniyam Summit</t>
  </si>
  <si>
    <t>Ramaniyam Trinity</t>
  </si>
  <si>
    <t>Thiruvanmiyur</t>
  </si>
  <si>
    <t>Mr Kannaiyan</t>
  </si>
  <si>
    <t>Nanganallur</t>
  </si>
  <si>
    <t>Mr AM Raja</t>
  </si>
  <si>
    <t>Garpagam Garden</t>
  </si>
  <si>
    <t>Mr Krishnamurthy</t>
  </si>
  <si>
    <t>GRN Kuyili</t>
  </si>
  <si>
    <t>T Nagar</t>
  </si>
  <si>
    <t>Geeyam Meenakshi Illam</t>
  </si>
  <si>
    <t>Mandaveli</t>
  </si>
  <si>
    <t>GK Shetty tulive Bellevue</t>
  </si>
  <si>
    <t>Mr Swaminathan</t>
  </si>
  <si>
    <t>Prestige Hill Crest</t>
  </si>
  <si>
    <t>Waiting for Net Meter</t>
  </si>
  <si>
    <t>Ooty</t>
  </si>
  <si>
    <t>https://drive.google.com/drive/folders/14vxMc1RqlBTu-URNstBZ-KWqTE387sv5</t>
  </si>
  <si>
    <t>Nil</t>
  </si>
  <si>
    <t>Sheela Green</t>
  </si>
  <si>
    <t>Navins Starwood</t>
  </si>
  <si>
    <t>Vengaivasal</t>
  </si>
  <si>
    <t>Shree Vrikshah homes</t>
  </si>
  <si>
    <t>Alwarpet</t>
  </si>
  <si>
    <t>Legendry Builders</t>
  </si>
  <si>
    <t>Gopalapuram</t>
  </si>
  <si>
    <t>Mr Srinivasan L&amp;T</t>
  </si>
  <si>
    <t>Korratur</t>
  </si>
  <si>
    <t>Khurinji's Iris</t>
  </si>
  <si>
    <t>Hindu School Payalwar Street</t>
  </si>
  <si>
    <t>Triplicane</t>
  </si>
  <si>
    <t>Adroit Prosper</t>
  </si>
  <si>
    <t>Thazhambur</t>
  </si>
  <si>
    <t>RCC e Constrcution</t>
  </si>
  <si>
    <t>Mangadu</t>
  </si>
  <si>
    <t>Mr Saravana Bhava</t>
  </si>
  <si>
    <t>Perungalathur</t>
  </si>
  <si>
    <t>Mr Srinivasan Madipakkam</t>
  </si>
  <si>
    <t>Madipakkam</t>
  </si>
  <si>
    <t>Ramaniyam Parampara</t>
  </si>
  <si>
    <t>Mr Ravish</t>
  </si>
  <si>
    <t>GRN Shree Nivas</t>
  </si>
  <si>
    <t>GRN Mangaladev</t>
  </si>
  <si>
    <t>Mr Bharath</t>
  </si>
  <si>
    <t>Mr.Anilkumar Mehta - Home</t>
  </si>
  <si>
    <t>Coimbatore</t>
  </si>
  <si>
    <t>Opus 96</t>
  </si>
  <si>
    <t>Tambaram</t>
  </si>
  <si>
    <t>BEEL</t>
  </si>
  <si>
    <t>Nandanam</t>
  </si>
  <si>
    <t>Ramaniyam Padhuka</t>
  </si>
  <si>
    <t>DMS</t>
  </si>
  <si>
    <t>Holding from client</t>
  </si>
  <si>
    <t>Vanagaram</t>
  </si>
  <si>
    <t>CM Constrcution</t>
  </si>
  <si>
    <t>Nerkundram</t>
  </si>
  <si>
    <t>Mr Muralidharan</t>
  </si>
  <si>
    <t>Chithalapakkam</t>
  </si>
  <si>
    <t>Mr Devadoss</t>
  </si>
  <si>
    <t>Mr Seshadri</t>
  </si>
  <si>
    <t>West Mambalam</t>
  </si>
  <si>
    <t>SLNC</t>
  </si>
  <si>
    <t>Madurai</t>
  </si>
  <si>
    <t>Mr Lakshmanan</t>
  </si>
  <si>
    <t>SSBPL KP Puram</t>
  </si>
  <si>
    <t>Kesavadasapuram</t>
  </si>
  <si>
    <t>Mr Chakrapani</t>
  </si>
  <si>
    <t>Lancor Infinys</t>
  </si>
  <si>
    <t>Keelkatalai</t>
  </si>
  <si>
    <t>Ramaniyam Adhri</t>
  </si>
  <si>
    <t>Mr MV Srinivasan</t>
  </si>
  <si>
    <t>Mr Kesav Anand</t>
  </si>
  <si>
    <t>Moovarasanpet</t>
  </si>
  <si>
    <t>Khurinji's Acanthus</t>
  </si>
  <si>
    <t>Shree Niketan</t>
  </si>
  <si>
    <t>Geeyam Nandhini</t>
  </si>
  <si>
    <t>St Mary's Road</t>
  </si>
  <si>
    <t>4 Bricks</t>
  </si>
  <si>
    <t>GRN Bakhavachalam</t>
  </si>
  <si>
    <t>Bakthavatchalam</t>
  </si>
  <si>
    <t>GRN CP Ramasamy</t>
  </si>
  <si>
    <t>CP Ramaswamy Street</t>
  </si>
  <si>
    <t>Mr Arangarajan</t>
  </si>
  <si>
    <t>Mr C Kumar</t>
  </si>
  <si>
    <t>Mr Sangeetha</t>
  </si>
  <si>
    <t>Navins Vyakarana</t>
  </si>
  <si>
    <t>Vgk Saiharithik</t>
  </si>
  <si>
    <t>Mr Vigneswaran</t>
  </si>
  <si>
    <t>Vinayaga Infratech</t>
  </si>
  <si>
    <t>Pallavaram</t>
  </si>
  <si>
    <t>Mr Ramkumar</t>
  </si>
  <si>
    <t>Ms. Sridevi</t>
  </si>
  <si>
    <t>Mr Lakshman Raj</t>
  </si>
  <si>
    <t>Mr Balaji</t>
  </si>
  <si>
    <t>Mr Aatish</t>
  </si>
  <si>
    <t>VGK Unity Kingdom</t>
  </si>
  <si>
    <t>VGK Summer Garden</t>
  </si>
  <si>
    <t>MSM Unit II, Phase III</t>
  </si>
  <si>
    <t>Ramaniyam Abinaya</t>
  </si>
  <si>
    <t>Rite Choice</t>
  </si>
  <si>
    <t>S&amp;P Courtyard</t>
  </si>
  <si>
    <t>On Progress</t>
  </si>
  <si>
    <t>Ayanampakkam</t>
  </si>
  <si>
    <t>https://drive.google.com/drive/folders/1-aaHi4sgjRn3B6JVbu6aRyJlQA6rsd5f</t>
  </si>
  <si>
    <t>VP Jewellery</t>
  </si>
  <si>
    <t>Chennai</t>
  </si>
  <si>
    <t>Mr Chandrasekar</t>
  </si>
  <si>
    <t>Choolaimedu</t>
  </si>
  <si>
    <t>SSBPL NBR 2</t>
  </si>
  <si>
    <t>Thiruvamiyur</t>
  </si>
  <si>
    <t>Lancor Hiranmayi</t>
  </si>
  <si>
    <t>Lancor Sahana</t>
  </si>
  <si>
    <t>Lancor Ratirupa</t>
  </si>
  <si>
    <t>Lancor Homeleigh</t>
  </si>
  <si>
    <t>Nungampakkam</t>
  </si>
  <si>
    <t>Arihanth Nahar</t>
  </si>
  <si>
    <t>Mettupalaiyam</t>
  </si>
  <si>
    <t>Mr Ramaswamy</t>
  </si>
  <si>
    <t>Mr Venkateswaran RTO</t>
  </si>
  <si>
    <t>SSBPL West Mambalam</t>
  </si>
  <si>
    <t>Kalakchetra</t>
  </si>
  <si>
    <t>https://drive.google.com/drive/folders/1iAruyKz0k1EhRHFm2rwI4IOZzW-nOXeN</t>
  </si>
  <si>
    <t>Mr Venkatraman</t>
  </si>
  <si>
    <t>Maduravoyal</t>
  </si>
  <si>
    <t>Ramaniyam Shyamala</t>
  </si>
  <si>
    <t>RK Nagar</t>
  </si>
  <si>
    <t>DRA Urbania</t>
  </si>
  <si>
    <t>Avadi</t>
  </si>
  <si>
    <t>Mr.Sriram Pallikaranai</t>
  </si>
  <si>
    <t>Ramaniyam Sri Vaikuntam</t>
  </si>
  <si>
    <t>Ram Nagar</t>
  </si>
  <si>
    <t>Newry Astor</t>
  </si>
  <si>
    <t>Vaf def Aero Systems</t>
  </si>
  <si>
    <t>Mr Parasuraman</t>
  </si>
  <si>
    <t>Korattur</t>
  </si>
  <si>
    <t>Mr Palanivelan</t>
  </si>
  <si>
    <t>Kodampakkam</t>
  </si>
  <si>
    <t>SSBPL SPRING SEASON</t>
  </si>
  <si>
    <t>Luxebuilt Homes Pvt ltd</t>
  </si>
  <si>
    <t>Aibea Nagar</t>
  </si>
  <si>
    <t>Lancor Lumina H2</t>
  </si>
  <si>
    <t>Guduvanchery</t>
  </si>
  <si>
    <t>Felix Johnson</t>
  </si>
  <si>
    <t>Madampakkam</t>
  </si>
  <si>
    <t>Mr Elumalai</t>
  </si>
  <si>
    <t>Pampal</t>
  </si>
  <si>
    <t>Log on infra pvt ltd (NDR)</t>
  </si>
  <si>
    <t>M/S Ramya</t>
  </si>
  <si>
    <t>Olympia Panache</t>
  </si>
  <si>
    <t>Mr Davidson</t>
  </si>
  <si>
    <t>Selaiyur</t>
  </si>
  <si>
    <t>Navins Sankalpa</t>
  </si>
  <si>
    <t>Sri Ganapathy Ashram</t>
  </si>
  <si>
    <t>Velachery</t>
  </si>
  <si>
    <t>Jains Aura</t>
  </si>
  <si>
    <t>Thiruvallur</t>
  </si>
  <si>
    <t>Mr Manokaran</t>
  </si>
  <si>
    <t>Mr Vijay Sabapathy</t>
  </si>
  <si>
    <t>Sri Ganapathy Ashram, Phase II</t>
  </si>
  <si>
    <t>Mr Venkatesh</t>
  </si>
  <si>
    <t>Mr Koildhass</t>
  </si>
  <si>
    <t>Ramaniyam Bharadwaj</t>
  </si>
  <si>
    <t>Mandavali</t>
  </si>
  <si>
    <t>M/s Latha ganesh</t>
  </si>
  <si>
    <t>Ramaniyam Nagas</t>
  </si>
  <si>
    <t>Ramaniyam tulsi</t>
  </si>
  <si>
    <t>Ramaniyam Anugraha</t>
  </si>
  <si>
    <t>Ramaniyam Ocean dew Block 4</t>
  </si>
  <si>
    <t>Ramaniyam Ocean dew Block 5</t>
  </si>
  <si>
    <t>Ramaniyam Vedha</t>
  </si>
  <si>
    <t>Town &amp; Country Project</t>
  </si>
  <si>
    <t>Sriperumpudhur</t>
  </si>
  <si>
    <t>Nithya Akshayam</t>
  </si>
  <si>
    <t>Mr Vishnu Vijay</t>
  </si>
  <si>
    <t>M/s Srividya Srikanth</t>
  </si>
  <si>
    <t>Mr Subramanian</t>
  </si>
  <si>
    <t>Koturpuram</t>
  </si>
  <si>
    <t>https://drive.google.com/drive/folders/18ULAJaInD_x6cJ0ekns5fWCTk9Br1F2j</t>
  </si>
  <si>
    <t xml:space="preserve">Mr Babu Govindrajan </t>
  </si>
  <si>
    <t>Mr Saravanan</t>
  </si>
  <si>
    <t>Mr Sairam</t>
  </si>
  <si>
    <t>Mr Sankaranarayanan</t>
  </si>
  <si>
    <t>DRA Skylanties</t>
  </si>
  <si>
    <t>Semancheri</t>
  </si>
  <si>
    <t>https://drive.google.com/drive/folders/1N6HBufOVOjvrM2avvUMb5HJdMdmtAsfD</t>
  </si>
  <si>
    <t>yet to deliver the materials</t>
  </si>
  <si>
    <t xml:space="preserve">Mr Venkatesh </t>
  </si>
  <si>
    <t>velachery</t>
  </si>
  <si>
    <t>Geeyam Skandha</t>
  </si>
  <si>
    <t>Mandavelipakkam</t>
  </si>
  <si>
    <t>Mr Chandran</t>
  </si>
  <si>
    <t>Mr Jeyaseelan</t>
  </si>
  <si>
    <t>Kaspapuram</t>
  </si>
  <si>
    <t>Krishna Ekta</t>
  </si>
  <si>
    <t>https://drive.google.com/drive/folders/1oABsdjuJ0HyXA6uemXQlZUP7pN9-Na5X</t>
  </si>
  <si>
    <t>Mr Sriram</t>
  </si>
  <si>
    <t>Mr Venkateshperumal</t>
  </si>
  <si>
    <t>Chitlapakkam</t>
  </si>
  <si>
    <t>Mr. Ramesh Babu</t>
  </si>
  <si>
    <t>DRA Optima</t>
  </si>
  <si>
    <t>Mr Sanjay</t>
  </si>
  <si>
    <t>Kilpauk</t>
  </si>
  <si>
    <t>Mr Ginu Mathew</t>
  </si>
  <si>
    <t>Dr Ramesh</t>
  </si>
  <si>
    <t>Teynampet</t>
  </si>
  <si>
    <t>Ranamaniyam Saranagati</t>
  </si>
  <si>
    <t>Pacifica Aurum</t>
  </si>
  <si>
    <t>Padur</t>
  </si>
  <si>
    <t>Mr Prabakaran</t>
  </si>
  <si>
    <t>Abiramapuram</t>
  </si>
  <si>
    <t>RCC e Constrcution 2</t>
  </si>
  <si>
    <t>GRN Chakarabani street</t>
  </si>
  <si>
    <t>Mr Siva Elango</t>
  </si>
  <si>
    <t>Virugampakkam</t>
  </si>
  <si>
    <t>Shoba Silks Pvt Ltd</t>
  </si>
  <si>
    <t>Green Crest</t>
  </si>
  <si>
    <t>Thirumangalam</t>
  </si>
  <si>
    <t>Mr Shanmugam</t>
  </si>
  <si>
    <t>Saligramam</t>
  </si>
  <si>
    <t>Krishnaveni</t>
  </si>
  <si>
    <t>Thindivanam</t>
  </si>
  <si>
    <t>Jyothiswari</t>
  </si>
  <si>
    <t>Mr Sivasankar</t>
  </si>
  <si>
    <t>Lancor Lumina ABC</t>
  </si>
  <si>
    <t>https://drive.google.com/drive/folders/1NcXI4zV9hFa6MDweUTVqZ4N1nhUqxJoW</t>
  </si>
  <si>
    <t>Sri krishna Sweets</t>
  </si>
  <si>
    <t>Mahameru</t>
  </si>
  <si>
    <t>https://drive.google.com/drive/folders/1q01x66w1_XNAtaL_wW4RtqI1xunJYK-b</t>
  </si>
  <si>
    <t>Jains Seven 77</t>
  </si>
  <si>
    <t>Perungudi</t>
  </si>
  <si>
    <t>https://drive.google.com/drive/folders/12q-BgaRbCF3KZWBCMuDBWSfgxB0cF6E7</t>
  </si>
  <si>
    <t>SPDPL Luz Avenue</t>
  </si>
  <si>
    <t>Jains Aadhidev</t>
  </si>
  <si>
    <t>https://drive.google.com/drive/folders/1Nzc9DRsU_Vq9A5If0O2Ajjq6aN6b_UCW</t>
  </si>
  <si>
    <t>Mr Arjun Prasath</t>
  </si>
  <si>
    <t>Zeneto infra</t>
  </si>
  <si>
    <t>Mr Sridhar Rajan</t>
  </si>
  <si>
    <t>Mr Rangachari</t>
  </si>
  <si>
    <t>Ramapuram</t>
  </si>
  <si>
    <t>Mr.Sukumaran</t>
  </si>
  <si>
    <t>Kottivakkam</t>
  </si>
  <si>
    <t>Ramaniyam Nivasam</t>
  </si>
  <si>
    <t>Hindu School Adyar / Service</t>
  </si>
  <si>
    <t>GRN Ambili Srinivas</t>
  </si>
  <si>
    <t>SPDPL Padmalaiya</t>
  </si>
  <si>
    <t>Nirupa Properties</t>
  </si>
  <si>
    <t>Mr.Karthikeyan / CM Constructions</t>
  </si>
  <si>
    <t>Sri krishna Sweets Factory</t>
  </si>
  <si>
    <t>https://drive.google.com/drive/folders/13Rs28n7vZ_Q32Yko3XLJXCht1eD5pCNx</t>
  </si>
  <si>
    <t xml:space="preserve">Mr Ravi / Tiruvannamalai </t>
  </si>
  <si>
    <t>Thiruvannamalai</t>
  </si>
  <si>
    <t>Mr.Arunkumar</t>
  </si>
  <si>
    <t>Medavakkam</t>
  </si>
  <si>
    <t>Rakshas Enterprises</t>
  </si>
  <si>
    <t>Mr.Anilkumar Mehta - Office</t>
  </si>
  <si>
    <t>Mr.Rajan Babu</t>
  </si>
  <si>
    <t>Neelankarai</t>
  </si>
  <si>
    <t>Ramaniyam Sankaram</t>
  </si>
  <si>
    <t>Mr Raja grn gopal street</t>
  </si>
  <si>
    <t>Mr.Kasinathan</t>
  </si>
  <si>
    <t>Palavanthangal</t>
  </si>
  <si>
    <t>Newry Adora</t>
  </si>
  <si>
    <t>https://drive.google.com/drive/folders/1_HNJIoUBDK7XFLONbVlEMzFkN9Pz6m0u</t>
  </si>
  <si>
    <t>Lancor Bagya</t>
  </si>
  <si>
    <t>https://drive.google.com/drive/folders/1Y9yLWQW3rGmm5ZITWygsME9m4Xn7XdWi</t>
  </si>
  <si>
    <t>Lancor Ananda</t>
  </si>
  <si>
    <t>https://drive.google.com/drive/folders/1ACnaJELmrcNmVxcxNpO32t-GaK_lIMAq</t>
  </si>
  <si>
    <t>Mr Jeyakumar</t>
  </si>
  <si>
    <t>Geeyam Suryakantham</t>
  </si>
  <si>
    <t>Raja Annamalaipuram</t>
  </si>
  <si>
    <t>Geeyam Prasang</t>
  </si>
  <si>
    <t>Mr Saravanan 4 Bricks</t>
  </si>
  <si>
    <t>Mr Srinivasan Adyar</t>
  </si>
  <si>
    <t>https://drive.google.com/drive/folders/12dTuol10rXJdtokKsWTPq8LAx93pX50u</t>
  </si>
  <si>
    <t>Mr Nitin</t>
  </si>
  <si>
    <t>Vepery</t>
  </si>
  <si>
    <t>Khurinji's the Orchid</t>
  </si>
  <si>
    <t>Ramaniyam Rangavilasam</t>
  </si>
  <si>
    <t>VM Builder</t>
  </si>
  <si>
    <t>Egmore</t>
  </si>
  <si>
    <t>Shankaran - Shree Viruksha</t>
  </si>
  <si>
    <t>Ramaniyam Gayathri</t>
  </si>
  <si>
    <t>https://drive.google.com/drive/folders/19Dmq93qv-SoxcDylN_WImDVq-m-S-ku8</t>
  </si>
  <si>
    <t>Ramaniyam Manasa</t>
  </si>
  <si>
    <t>Swarnalatha</t>
  </si>
  <si>
    <t>Mugalivakkam</t>
  </si>
  <si>
    <t>Adroit Prosper D Block</t>
  </si>
  <si>
    <t>Thalambur</t>
  </si>
  <si>
    <t>https://drive.google.com/drive/folders/1-dds5p0THDcEX_3OKWAXR77GSOpax-sp</t>
  </si>
  <si>
    <t>Waiting for CC</t>
  </si>
  <si>
    <t>Mr Sundar</t>
  </si>
  <si>
    <t>Accord Foundtaions</t>
  </si>
  <si>
    <t>https://drive.google.com/drive/folders/1TCcYwVwWz9AeKYjZDJp54RZ-3mahmk6K</t>
  </si>
  <si>
    <t>Zirve Project</t>
  </si>
  <si>
    <t>Yet to Start</t>
  </si>
  <si>
    <t>Ekana Cottage</t>
  </si>
  <si>
    <t>Mr Aditya Baskar</t>
  </si>
  <si>
    <t>Mr Manickam</t>
  </si>
  <si>
    <t>M/s Geetha Kalyan</t>
  </si>
  <si>
    <t>Syed Mubarak</t>
  </si>
  <si>
    <t>Mr Vasu rao</t>
  </si>
  <si>
    <t>DRA Trinity</t>
  </si>
  <si>
    <t>https://drive.google.com/drive/folders/1vH39fpF8BDgLH1Mrv_mZUPc2oDgFIjSZ</t>
  </si>
  <si>
    <t>National School</t>
  </si>
  <si>
    <t>Mayiladuthurai</t>
  </si>
  <si>
    <t>Mr Sivasankar Home</t>
  </si>
  <si>
    <t>Chettinad Grinding Unit</t>
  </si>
  <si>
    <t>Vizag</t>
  </si>
  <si>
    <t>https://drive.google.com/drive/folders/14SSmOv7B7K0XXgcIxOxoBfxTQ1L829Su</t>
  </si>
  <si>
    <t>Mr Parasuraman 2</t>
  </si>
  <si>
    <t>https://drive.google.com/drive/folders/1ONWUK-qHtIBRDCGvOIvgqkvZLkkqsnF3</t>
  </si>
  <si>
    <t>Alamelu &amp; Arvind</t>
  </si>
  <si>
    <t>Uthandi</t>
  </si>
  <si>
    <t>Mr Solai Ayyar</t>
  </si>
  <si>
    <t>Ramaniyam Premasaraswathi</t>
  </si>
  <si>
    <t>Mr Pradip Jasiwal</t>
  </si>
  <si>
    <t>Puraisaivakkam</t>
  </si>
  <si>
    <t>Mr Mithil &amp; Karan</t>
  </si>
  <si>
    <t>Vellore</t>
  </si>
  <si>
    <t>Radiance Splendour</t>
  </si>
  <si>
    <t>https://drive.google.com/drive/folders/1P3t87ghU6qcpfXLVyE-PeSsV2foYqFOB</t>
  </si>
  <si>
    <t>S&amp;P The Address</t>
  </si>
  <si>
    <t>Mambakkam</t>
  </si>
  <si>
    <t>Ramaniyam Ashok Vihar</t>
  </si>
  <si>
    <t>Mr Deepak Raj</t>
  </si>
  <si>
    <t>Ponniammanmedu</t>
  </si>
  <si>
    <t>https://drive.google.com/drive/folders/1SbBusvO0oGc2TAhh8RiMe-cLJqOeEzwf</t>
  </si>
  <si>
    <t>RCC Austrom Icon</t>
  </si>
  <si>
    <t>Maraimalainagar</t>
  </si>
  <si>
    <t>https://drive.google.com/drive/folders/1O2a5lCqX_56l2bEflL1X4v1YxrciMKoZ</t>
  </si>
  <si>
    <t>Ramaniyam Akshayam</t>
  </si>
  <si>
    <t>https://drive.google.com/drive/folders/15XFtwTskGMGciukbWpefNMr8xxkWG5G2</t>
  </si>
  <si>
    <t>Ramaniyam Radika</t>
  </si>
  <si>
    <t>https://drive.google.com/drive/folders/1Om-ZBNXJZb-6qj4PX-0UaW856ZiyPouv</t>
  </si>
  <si>
    <t>M/s Deepa Balaji</t>
  </si>
  <si>
    <t>https://drive.google.com/drive/folders/1YYC3KN1JGAbgcNAsGHF10DHPQuuiCF2-</t>
  </si>
  <si>
    <t>Mr Pradheep Boopathy</t>
  </si>
  <si>
    <t>https://drive.google.com/drive/folders/1NT0YcwUZjP7waBc4nZD_ywLyMUix3ECy</t>
  </si>
  <si>
    <t>Mr Murali</t>
  </si>
  <si>
    <t>Pammal</t>
  </si>
  <si>
    <t>https://drive.google.com/drive/folders/14GR6CVn7f2aa_iZv1E75WavytLGCJolp</t>
  </si>
  <si>
    <t>Ramaniyam Lakshmi</t>
  </si>
  <si>
    <t>https://drive.google.com/drive/folders/1zzM--JwuCTVcM7a8EOyAL-n_FK8dAv-K</t>
  </si>
  <si>
    <t>Navins Starwood Towers Phase III</t>
  </si>
  <si>
    <t>Vengavasal</t>
  </si>
  <si>
    <t>https://drive.google.com/drive/folders/1URIBqqHA-mZznmATdGmGNpH0Br0t8Z-2</t>
  </si>
  <si>
    <t>to get Quote from sriram for structure</t>
  </si>
  <si>
    <t>Dra Downtown</t>
  </si>
  <si>
    <t>https://drive.google.com/drive/folders/1ZRmYlboeiXxtwCkJGC0698e0wyeHZOAi</t>
  </si>
  <si>
    <t>M/s Jayanthi</t>
  </si>
  <si>
    <t>https://drive.google.com/drive/folders/1Um-epJUDhZcq0HWmyMTv0Zxvtnbiu4eu</t>
  </si>
  <si>
    <t>Waiting for panel</t>
  </si>
  <si>
    <t>https://drive.google.com/drive/folders/10ukP0lT7gFNrI-YZiObMgufAseed1wo-</t>
  </si>
  <si>
    <t>M/s Uma Maheshwari</t>
  </si>
  <si>
    <t>Kolathur</t>
  </si>
  <si>
    <t>https://drive.google.com/drive/folders/1zCaKAQSAMH5n_8cuTQ1ZzPOf6bUX6paz</t>
  </si>
  <si>
    <t>Waiting for design and panel</t>
  </si>
  <si>
    <t>M/s V J Saraswathi</t>
  </si>
  <si>
    <t>https://drive.google.com/drive/folders/1W20Cfxofy-ij2nNzfk3nQPWg7ERaZBlg</t>
  </si>
  <si>
    <t>Mr Sri Kumar</t>
  </si>
  <si>
    <t>https://drive.google.com/drive/folders/1qMwG4QRWpf4oegGC8MOmUJGinpTeeYpy</t>
  </si>
  <si>
    <t>BCPL Anusham</t>
  </si>
  <si>
    <t>https://drive.google.com/drive/folders/1GA2LmK7BuG8-EydX2LQL4kDMEO21snZ5</t>
  </si>
  <si>
    <t>BCPL Anusham / Arjun Prasath</t>
  </si>
  <si>
    <t>https://drive.google.com/drive/folders/12NipA59dsYn2IOMe0C0xVNetbfLp3J4M</t>
  </si>
  <si>
    <t>BCPL Anusham / Dhandapani</t>
  </si>
  <si>
    <t>https://drive.google.com/drive/folders/1C67HmuEHhmuyihELsv1QuY9rISoKKq2o</t>
  </si>
  <si>
    <t>BCPL Anusham / Ramesh</t>
  </si>
  <si>
    <t>https://drive.google.com/drive/folders/1NlLczFjk0yF-l1GnYCxFimlgzWYEkCst</t>
  </si>
  <si>
    <t>BCPL Anusham / Sri Bala</t>
  </si>
  <si>
    <t>https://drive.google.com/drive/folders/1I0lRQuYNO2igzJuR2EKnNSC7t-xPp92K</t>
  </si>
  <si>
    <t>DRA Infinique</t>
  </si>
  <si>
    <t>https://drive.google.com/drive/folders/11ywfvFB3LeIIEY2hnFw3Bw3kPXNcj3Mt</t>
  </si>
  <si>
    <t>Task Name</t>
  </si>
  <si>
    <t>Assigned to</t>
  </si>
  <si>
    <t>Due date</t>
  </si>
  <si>
    <t>Notes</t>
  </si>
  <si>
    <t>Done by</t>
  </si>
  <si>
    <t>to deliver materials to  site</t>
  </si>
  <si>
    <t>Sathyaraj</t>
  </si>
  <si>
    <t>Closed</t>
  </si>
  <si>
    <t>[ 03/12/2025 - Panels delivered to Site by Sathyaraj ] / [ 08/12/2025 - Structure delivered to site by Suresh from green field]</t>
  </si>
  <si>
    <t>Suresh</t>
  </si>
  <si>
    <t>to deliver the panels &amp; Str to site</t>
  </si>
  <si>
    <t>[ 29/11/2025 - Site Visit &amp; design confirmation got by Suresh ] / [ 3/12/2025 - Panels delivered to site by Sathyaraj ] /  [ 08/12/2025 - Structure materials delivered to site by Suresh from green field ]</t>
  </si>
  <si>
    <t>to start &amp; complete the electrical work</t>
  </si>
  <si>
    <t>Manivel</t>
  </si>
  <si>
    <t>Electrical work completed at site by contractor Sriram</t>
  </si>
  <si>
    <t>Mohan</t>
  </si>
  <si>
    <t>to deliver the panels &amp; Structure to site</t>
  </si>
  <si>
    <t>[ 28/11/2025 - Structure order Placed with green Field ] / [ 1/12/2025 - Panel Order Placed with Southern Power ] / [ 4/12/2025 - Co ordinated for both panel &amp; structure deliver to site - both are ready to dispatch ] / [ 05/12/2025 - Panel &amp; structure materials delivered to site by Sathyaraj ]</t>
  </si>
  <si>
    <t>to complete generation meter installation</t>
  </si>
  <si>
    <t>[ 29/11/2025 - NFR received ] / [ 10/12/2025 - MRT Discrepancy Letter &amp; Estimate fees for Meter received ] /  [ 16/12/2025 - Estimate Fees Paid ] / [ 4th May - Meter &amp; Ct coils are submitted with MRT to calibrate ] / [ 14th May - Meter &amp; Ct Coils are collected form MRT after calibrated ] / 16th May - Generation meter and CT coils are fixed at site as well as wiring done</t>
  </si>
  <si>
    <t>to complete the CEIG Process</t>
  </si>
  <si>
    <t>[ 1/12/2025 - Waiting for CEIG drawing from Client ] / [ 3/12/2025 - reminder sent, waiting for docs ] / [24/01/2026 - Drawing sent to CEIG office from Essar to get drawing approvals ] / [ 11/02/2026 - drawing Approvals received from Essar ] / [ 17/03/2026 - CEIG Inspection done at site by Essar Control System ] / [ 24/04/2026 - RR Sent to Essar from client , RR itself submit this with CEIG office ] / 11th May 2026 - CEIG Safety received</t>
  </si>
  <si>
    <t>to complete NFR &amp; Net Meter Process</t>
  </si>
  <si>
    <t>[ 27/11/2025- Asked them to share a required docs ] / [ 13/01/2026 - Docs received from them ] / [ 16/02/2026 - CEIG Quote Sent to Vivek by Manivel ] / [ 10/04/2026 - NFR Received ] , [ 22/04/2026 - Quote received for Generation Meter and CT Coil ] / [ 27/04/2026 - Order Placed for CT Coils and Generation Meter ] / [ 29/04/2026 - CT Coils Received from Kalaivani ] / [ 06/05/2026 - Ct coli &amp; generation meters are dispatched to green filed to complete internal wiring ] / [ 07/05/2026 - LTCT Generation meter received from green field ] /</t>
  </si>
  <si>
    <t>to get design confirmation</t>
  </si>
  <si>
    <t>[ 12/01/2026 - Drawing request mail sent by Manivel ] / [ 13/01/2026 - Layout Sent to them via mail, Waiting for confirmation ] / [ 14/01/2026 - Got Design Confirmation ]</t>
  </si>
  <si>
    <t>[ 4/12/2025 - Asked CADD file of terrace area to make design by Manivel ] / [ 05/12/2025 - Site Visit done by Manivel and discussed the final location and asked revised design ] / [ 09/12/2025 - Revised design sent and got the confirmation for the same ]</t>
  </si>
  <si>
    <t>to send the revised design and get the confirmation for the same</t>
  </si>
  <si>
    <t>3rd Dec 2025 - Design sent to Prem for Confirmation / 14th May 2026 - Prem Asked to start the work at site</t>
  </si>
  <si>
    <t>Complete the electrical work</t>
  </si>
  <si>
    <t>Manikandan</t>
  </si>
  <si>
    <t>[ 03/12/2025 - Electrical Materials delivered &amp; Completed ACDB, DCDB, Earth Pit work ] / [ 04/12/2025 - Inverter installation &amp; termination done by Mohan &amp; Manikandan ] / [ 05/12/2025 - Dc wiring work completed by Manikandan &amp; Mohan ] / [ 06/12/2025 - LA wiring work Completed ] / [ 10/12/2025 - Colum box removal and plastering work has been completed by Sathyaraj team 2 Labour ]</t>
  </si>
  <si>
    <t>to done system commissioning</t>
  </si>
  <si>
    <t>System commissioned on 22nd Nov 2025</t>
  </si>
  <si>
    <t>[ 28/11/2025 - Registration process done by Vendor ] / [ 1/12/2025 - Followed them ] / [ 4/12/2025 - Followed them ] / [ 05/12/2025 -Inspection done at site by Suresh ] / [ 06/01/2026 - CEIG Certificate received ]</t>
  </si>
  <si>
    <t>to install the net meter at site</t>
  </si>
  <si>
    <t>Ramachandran</t>
  </si>
  <si>
    <t>[ 20/01/2025 - Net Meter installed by Ramachandran / 21/01/2025 - System commisioned by Mr Anbarasan ]</t>
  </si>
  <si>
    <t xml:space="preserve">Anbarasan </t>
  </si>
  <si>
    <t>Yet to Start - to start the electrical work at site</t>
  </si>
  <si>
    <t>Open</t>
  </si>
  <si>
    <t>[ 4/12/2025 - Discussed with Vinod for budget ] / Finalize the Vendor for I&amp;C</t>
  </si>
  <si>
    <t>Anbarasan</t>
  </si>
  <si>
    <t>[ arunkumar01agu@gmail.com , Solar@123 ] - Deye - Solarman Smart -</t>
  </si>
  <si>
    <t>to get design approval</t>
  </si>
  <si>
    <t>[ 15/12/2025 - Site Visit done by Anbarasan &amp; Mr Lourduraj &amp; got the design confirmation ]</t>
  </si>
  <si>
    <t>Project details</t>
  </si>
  <si>
    <t>[ https://maps.app.goo.gl/KSbu8mu2NFHFtXj79 ] / Mr Vijayan / 9841569153 / 4.4 KWp / On grid / Low Raise / RA Puram</t>
  </si>
  <si>
    <t>[ https://maps.app.goo.gl/D7fHrTrrxA6sbast7 ] / Mr Sakkanaguru / 9952919566 / Velachery / 4.4 KWp / On grid / Low Raise</t>
  </si>
  <si>
    <t>Wi Fi configuration</t>
  </si>
  <si>
    <t>ushasankaran1961@gmail.com, Solar123# ,</t>
  </si>
  <si>
    <t>to be done final system commissioning</t>
  </si>
  <si>
    <t>18th April 2026 - Final terminations and system commissioning has been done by Anbarasan &amp; Manikandan, Now the system is working</t>
  </si>
  <si>
    <t>Manikandan &amp; Anbarasan</t>
  </si>
  <si>
    <t>Me Jeyakumar / 8754571288 / On grid / Elevated / DCR / Premier / 600 Wp / 8 Nos / 5 KW / Deye / 3Phase / LA / Civil / Madampakkam [ https://maps.app.goo.gl/uTQwC1FJobcDhdHi8 ]</t>
  </si>
  <si>
    <t>10.4 KWp [ 8.2 KWp DC / 6 KW AC , 2.3 KWp DC / 3.3 kW AC ] , On grid / Non DCR / Elevated / Coimbatore / Civil</t>
  </si>
  <si>
    <t>5 KWp / On grid / Non DCR / Low raise / Mr Jagadeesh / 8940416109 [ https://maps.app.goo.gl/bs2ffbHNUKV5SaTQ8 ]</t>
  </si>
  <si>
    <t>20 KWp / On grid / Non DCR / Low Raise / Civil Work / Mr Deenadhayalan / 9176227864 / Avadi [ https://maps.app.goo.gl/b21hZvRbNZRrJyid8 ] / 600 Wp - 33 Nos / 20 KW - Deye Inverter</t>
  </si>
  <si>
    <t xml:space="preserve">Shiroi Energy </t>
  </si>
  <si>
    <t>Login credential for sungrow inverter</t>
  </si>
  <si>
    <t xml:space="preserve">[manivel@shiroienergy.com,shiro@2025 ] </t>
  </si>
  <si>
    <t>Login credential for Growatt</t>
  </si>
  <si>
    <t>[ EEVUWE001,Solar123 ]</t>
  </si>
  <si>
    <t>to start &amp; Complete the installation</t>
  </si>
  <si>
    <t>[ 29/11/2025 - Structure work started for existing sys ] / [ 1/12/2025 - Structure work completed for the exist sys ] / [ 2/12/2025 - Existing sys re wiring &amp; installation completed ] / [ 3/12/2025 - Structure work Started for the new sys &amp; Completed the wiring work for the new sys for both ] / [ 04/12/2025 - Structure &amp; Panel work Completed &amp; Ladder Work in Progress ] / [ 05/12/2025 - Inverter Installation &amp; System work completed , trail run has been done by Anbarasan ]</t>
  </si>
  <si>
    <t>to complete the net meter work</t>
  </si>
  <si>
    <t>Ramchandran</t>
  </si>
  <si>
    <t>4th Feb 2026 - Net Meter installed at site by Ramachandran</t>
  </si>
  <si>
    <t>[ 27/11/2025 - Earth Pit installation done by Sathyaraj ] / [ 05/12/2025 - Design sent to them for confirmation &amp; Got confirmation ]</t>
  </si>
  <si>
    <t>3.3 KWp / On Grid / Non DCR / 550 Wp - 6 Nos / Renew / Low raise /  Raja Annamalai Puram - [ 4/12/2025 - they called and asked to start the installation ] / [ https://share.google/0mUOrRixIg9f6iIDY ]</t>
  </si>
  <si>
    <t>Mr Manivel</t>
  </si>
  <si>
    <t xml:space="preserve">[ 3.3 KWp / Low raise / DCR / 540 Wp Solex /DCR Panels / 6 Nos / Deye / 3 KW /Single Phase inverter / elumalai_md@yahoo.co.in , Solar123 / pampal / 9940669817 / Elumalai ]  </t>
  </si>
  <si>
    <t xml:space="preserve">[ 535Wp / Renew / 6 Nos /DCR / - Deye / 5 KW / three Phase - ppalanivelan@yahoo.co.in, Solar123 ]  - [ Kodamapkkam / 9445353666 / Palanivelan ] </t>
  </si>
  <si>
    <t>[ Mr janardhan / 9042989783 / 4.4 KWp , 550Wp/Solex/Bifacial/Non dcr/8Nos/GI Low raise ]</t>
  </si>
  <si>
    <t>Mr Felix Johnson</t>
  </si>
  <si>
    <t xml:space="preserve">7.5 KWp DC , 5 &amp; 3 KW AC , Elevated , NDCR , Madampakkam </t>
  </si>
  <si>
    <t>Ramaniyam Saranagati / 3.3 KWp</t>
  </si>
  <si>
    <t>manivel</t>
  </si>
  <si>
    <t xml:space="preserve">[ Mr Palanivelan / 8610648821 , 3.3 KWp , GI Low raise ,Ashok Nagar ] </t>
  </si>
  <si>
    <t xml:space="preserve">Project details </t>
  </si>
  <si>
    <t>[ Anandan/9940687643 / Nolambur / Goldi / 545Wp / DCR /7 NosSungrow/SG4.ORS/12392100283 ]</t>
  </si>
  <si>
    <t>Mr Devadoss / 7 KWp</t>
  </si>
  <si>
    <t>[ Mr Devadoss / 9444024204 / 6KWp On Grid + 1KWp Off Grid / Pallikkaranai / https://maps.app.goo.gl/mGD7fstp1cdvpkr76 ]</t>
  </si>
  <si>
    <t>[ Mr Parabakaran / 97899 37512 / Abiramapuram / 550Wp / Adani / DCR / 6Nos / Deye / 3KW / Single Phase / GI Elevated ]</t>
  </si>
  <si>
    <t>[ Mr raja / 8754497409 / 9.7 KWp / Low raise / NDCR/ Renew 540Wp / 18 Nos /Growatt inverter / Thirumangalam ]  - 9840850345 thirumurugan</t>
  </si>
  <si>
    <t>[ Mr Yuvaraj / 9566133366 / 100 KWp / GI Sheet / Metal Sheet / Vikram / Non dcr / Deye -80 KWp / karapakkam / CEIG - customer scope / TNEB - shiroi Scope / Sprinkler required ]</t>
  </si>
  <si>
    <t>[ Mr Siva / 9840082998 / 5 kWp / On Grid / Elevated / DCR / Adani / Deye / Civil - Customer Scope / LA - Not required / TNEB - Customer scope / Virumgampakkam ]</t>
  </si>
  <si>
    <t xml:space="preserve">Mr Shanmugam </t>
  </si>
  <si>
    <t>[ Mr Shanmugam / 9884466793 / 5.5 kWp / NDCR / Panasonic or Renew / 550 Wp / 10 Nos / On grid  / Low Raise / LA - Not reuired / Net Meter  - shiroi Scope / Civil Work - Client Scope / 4/54 , kaveri Rangan Nagar , Saligramam]</t>
  </si>
  <si>
    <t xml:space="preserve">Mr Arjun Prasath </t>
  </si>
  <si>
    <t>[ 9543886574 / Vijaykumar / NDCR / Waaree / 690 Wp / Low raise &amp; Elevated / LA &amp; civil  - Shiroi Scope / Mylapore]</t>
  </si>
  <si>
    <t>CM Construction</t>
  </si>
  <si>
    <t>3.3 KWp / On Grid / Elevated / Non DCR / Waaree / 540Wp - 6 Nos / Havells - 4 KW/ Single Phase / Nerkundram</t>
  </si>
  <si>
    <t xml:space="preserve">[ 8 KWp / Non DCR / Elevated / On Grid Systems / Luze Avenue / 8 KW inverter Three Phase ] </t>
  </si>
  <si>
    <t>[ 4.4 KWp / Non DCR / Elevated / On grid systems / Alwarpet / 4 KW Inverter Single Phase ]</t>
  </si>
  <si>
    <t>complete the str &amp; panel installation</t>
  </si>
  <si>
    <t>[ 06/12/2025 - 33 No Solar Panels &amp; structure Materials shifted to terrace by Sathyaraj team ] / [ 09/12/2025 to 12/12/2025 - Str &amp; panel installation completed by Suresh &amp; sathyaraj team ]</t>
  </si>
  <si>
    <t>Sathyaraj &amp; Suresh</t>
  </si>
  <si>
    <t>[ 04/12/2025 - Net meter installed at Site by  Ramachandran ] / [ 05/12/2025 - Sys Commissioning has been completed by Suresh] / the system is working within the operating Limits</t>
  </si>
  <si>
    <t>[ 05/11/2025 - Inverter Delivered to site &amp; completed the final termination by Suresh &amp; Anbarasan ]</t>
  </si>
  <si>
    <t>[ 04/12/2025 - Waiting for Normal Meter connection , Spoken on 04/12/2025 by Manivel ]</t>
  </si>
  <si>
    <t>to complete the net meter work &amp; CEIG Process</t>
  </si>
  <si>
    <t>[ 04/12/2025 - Spoken with Muthu Raman for Load increase &amp; name Change by Manivel ] / [ 27/04/2026 - Covering letter, Drawings &amp; form A1 shared with client to get signature by Manivel ] / [ 02/05/2026 - Spoke with Muthu Raman, he got signed copy today. yet to submit this with ESSAR  by EOD  ] /</t>
  </si>
  <si>
    <t>[ 24/11/2025 - Started the installation work at site by Contractor Rajesh  &amp; Completed on 28/11/2025 ]</t>
  </si>
  <si>
    <t>[ 05/12/2025 - Panel Enquired with Solstrom and share the quote with Vinod by Manivel ] / [ 11/12/2025 - Panel delivered to site from Solstrom by Manikandan &amp; Mohan &amp; Fabricator site visit  also completed by Lourduraj &amp; Final design sent to customer ]</t>
  </si>
  <si>
    <t>Manikandan &amp; Mohan</t>
  </si>
  <si>
    <t>[ 13/01/2026 - Net Meter installed for 8 KWp Soar system and system commissioning has been completed by Anbarasan ] / [ 03/02/2026 - Net Meter installed at site ] / [ 04/02/2026 - Final system commissioning and demo completed by Anbarasan ]</t>
  </si>
  <si>
    <t>[ 09/12/2025 - Net Meter installed at SIte By Ramachandran ] / [ 10/12/2025 - Final System Commissioning has been done by Manikandan , the system is working within the operating Limits ]</t>
  </si>
  <si>
    <t>[ 4.4 KWp , 2.2 KWp - DCR &amp;  2.2 KWp - NDCR ] / On Grid / Elevated / [ https://maps.app.goo.gl/s9Ur9XCcL1XBAxAD9 ] - Palavanthangal /  9994453354</t>
  </si>
  <si>
    <t>[ 06/12/2025 - Electrical work completed for the AC Side &amp; Structure work initiated ] / [ 07/12/2025 - Structure work 50% Completed ] / [ 08/12/2025 - Structure Work and Panel installation, Civil Work Completed ]</t>
  </si>
  <si>
    <t>[ 9.8 KWp DC / 8 KW AC - 580 Wp / Adani / 17 Nos / 8 KW / On Grid Inverter / Sun grow ] - Hopes [ Mr Saravanan / 9942245201 ]</t>
  </si>
  <si>
    <t>[ 6 KWp DC , 6 KW AC - Hybrid Systems , Elevated / NDCR , Adani / 600 Wp - 10 Nos, Deye 6 KW Hybrid three phase , 2 Nos 48 Ah Battery , LA, Civil ]</t>
  </si>
  <si>
    <t>Contact details</t>
  </si>
  <si>
    <t>Premkumar</t>
  </si>
  <si>
    <t>[ Srinivasan / 9810289083 , Karpagam garden, Adyar ] / [ https://maps.app.goo.gl/n6qnXbVmQ8PaPChc6 ]</t>
  </si>
  <si>
    <t>[ 3.3 KWp DC, 3 kW AC, NDCR , Vikram 550 Wp - 6 Nos , On grid , Elevated , Civil &amp; LA - client Scope ]</t>
  </si>
  <si>
    <t>[ Mr Saravanan , 9094039650  , RBI Colony , Adyar https://maps.app.goo.gl/sCGX89L6A19YhVRz8 ]</t>
  </si>
  <si>
    <t>to deliver the str &amp; panels to site</t>
  </si>
  <si>
    <t>[ 10/12/2025 - Structure order Placed with green field , And Confirmed panel make with vinod , renew 550 Wp , 9 Nos ] - [ 13/12/2025 -Str &amp; panels delivered to site by Mohan ]</t>
  </si>
  <si>
    <t xml:space="preserve">to complete the str &amp; Panel installation </t>
  </si>
  <si>
    <t>[ 12/11/2025 - 15/11/2025 - Structure Work Completed at site by Lourduraj ] - [ 10/12/2025 -Spoke with them by Manivel ] / [ 07/02/2026 - Panels delivered to site and shifted to terrace by Sathyaraj &amp; two labours ] / [ 10/02/2026 &amp; 11/02/2026 - Panels installation and paint work completed by Lourduraj ]</t>
  </si>
  <si>
    <t>[ 9.9 KWp -  2.2*3 Nos, 3.3 *1 Nos ] , DCR - Adani / 550 Wp / 18 Nos ] / Elevated</t>
  </si>
  <si>
    <t xml:space="preserve">Contact details </t>
  </si>
  <si>
    <t>[ Mr Raja /  9444376987 , Site Engineer - 9940011125 ] /[ https://maps.app.goo.gl/1QzkmcdZrKpceiV5A] / West Mambalam</t>
  </si>
  <si>
    <t>complete the str &amp; Panel installation</t>
  </si>
  <si>
    <t>Structure &amp; panels shifted to terrace and completed the installation for the same at site Suresh &amp; Mohan, Manikandan with two labours for shifting</t>
  </si>
  <si>
    <t>to complete the str &amp; panel installation</t>
  </si>
  <si>
    <t>Suresh &amp; Mohan</t>
  </si>
  <si>
    <t>[ 10/12/2025 - Str &amp; Panel installation work completed by Suresh &amp; Mohan, with 2 Labour used for shifting ]</t>
  </si>
  <si>
    <t>[ 6 KWp DC, 6 KW AC, On Grid Elevated , DCR ] / [ Site Engineer ,Tamil / 9094743332 , [ https://maps.app.goo.gl/1vtzAPjp4LrizHJt9 ] / Madipakkam [ Mr Sridhar rajan 7358667157 ]</t>
  </si>
  <si>
    <t>to complete the str work</t>
  </si>
  <si>
    <t>Paulpandi</t>
  </si>
  <si>
    <t>[ 24/09/2025 - Structure &amp; Panel installation completed by Lourduraj , Earth pit &amp; conduit laying work completed up to floor level by Paulpandi ]</t>
  </si>
  <si>
    <t>to complete the sys commissioning</t>
  </si>
  <si>
    <t>[ 10/11/2025 - Net meter installaed at site by Ramachandran ] / [11/12/2025 - System commissioning has been done by Suresh ]</t>
  </si>
  <si>
    <t>to complete the str &amp; Panel installation</t>
  </si>
  <si>
    <t>[ 16/12/2025 - Structure Post errection completed by Lourduraj ] / [ 17/12/2025 - Str &amp; Panel installation completed by Lourduraj]</t>
  </si>
  <si>
    <t>[ 11/12/2025 - str order placed with green field, panel order placed with southern power , 550Wp*6 Nos,NDCR ] / [ 13/12/2025 -Str &amp; panels delivered to site by Mohan ]</t>
  </si>
  <si>
    <t>to complete the electrical work</t>
  </si>
  <si>
    <t>[ 11/12/2025 - 8 KW inverter received at office by Manivel from inspire energy ] / [ 31/12/2025 - Inverter installed at site and system commissioning  has been completed ]</t>
  </si>
  <si>
    <t>[ https://maps.app.goo.gl/6HZvxyzsiBHQnDXcA ] / [ 6 KWp / 6 KW AC / Adani / DCR / 620Wp*10 Nos ] / [ +91 98401 86664 /  Purushottam ] / LA &amp; Civil - Shiroi / On grid / Elevated</t>
  </si>
  <si>
    <t>to complete the - installation</t>
  </si>
  <si>
    <t xml:space="preserve">[ 12/12/2025 - Adhisive apply &amp; Panel relocation , earth chmaber work has been completed by Manikandan &amp; Sriram contractor ] </t>
  </si>
  <si>
    <t>to complete the system commissioning</t>
  </si>
  <si>
    <t>[ 08/01/2026 - Net Meter installed at site by Client Side ] / [ 08/01/2026 - Final System commissioning has been done and inverter is working normal ]</t>
  </si>
  <si>
    <t>[ 08/01/2026 - Net Meter installed at site by client Scope ] / [ 08/01/2026 - System commissioning has been done by Manikandan ]</t>
  </si>
  <si>
    <t>to complete the earth cable conduit work</t>
  </si>
  <si>
    <t>[ 29/01/2026 - Coduits ar laid to provision for earth cable by sathyaraj ] / [ 19/02/2026 - Chmaber Fixing work and conduit laying work done by Sathyaraj with one labour ]</t>
  </si>
  <si>
    <t>Sathyarj</t>
  </si>
  <si>
    <t>Str installation &amp; Pedestal work for the post completed for the 14 KWp system</t>
  </si>
  <si>
    <t xml:space="preserve">[ 19 KWp - 14 &amp; 5 kWp ] / [ Mr Saravanan / 9566292572 ] / [ On grid / Low Raise ] / [ Navalur  ] </t>
  </si>
  <si>
    <t>Anbarasan &amp; Manikandan</t>
  </si>
  <si>
    <t>[ 11/12/2025 - Net Meter installed at site by Ramachandran ] / [ 13/12/2025 - System commissioning done by Manikandan &amp; Anbarasan , the system is working ]</t>
  </si>
  <si>
    <t>to delivery the Panels &amp; str to site</t>
  </si>
  <si>
    <t>[ 13/12/2025 - str materials delivered to site by Rajesh welder ] / [ 15/12/2025 - Structure post errection work completed ] / [ 16/12/2025 - Str &amp; Panel work completed ]</t>
  </si>
  <si>
    <t>22nd Dec 2025 - Electrical Materials delivered to site and started installation / 23rd Dec 2025 - Except Inverter, All wiring work has been done</t>
  </si>
  <si>
    <t>to prepare bill of items &amp; deliver the same to site</t>
  </si>
  <si>
    <t>to re route the dc wiring</t>
  </si>
  <si>
    <t>27th Nov 2025 - DC cable re route wiring work done by Suresh</t>
  </si>
  <si>
    <t>to get site clearance</t>
  </si>
  <si>
    <t>got site clearance</t>
  </si>
  <si>
    <t>to install the str &amp; Panels</t>
  </si>
  <si>
    <t>Manikandan &amp; Anbrasan</t>
  </si>
  <si>
    <t>[ 15/12/2025 - Str &amp; panels shifted to terrace by Sathyaraj team 2 labours and installed the same at site by Manikandan &amp; Anbarasan ]</t>
  </si>
  <si>
    <t>to get design confirmation &amp; site visit for bill of items</t>
  </si>
  <si>
    <t>[ 16/12/2025 - Went site visit to check the design, there is required to modify the designs by Manivel ] / [ 13/01/2026 - Final Site meeting done along with fabricator &amp; architect , client , the system design approved ]</t>
  </si>
  <si>
    <t>[ 2* 3 KWp DC / 2*3 KW AC / On Grid /  Elevated / DCR / Premier / 600 Wp * 10 Nos / Growatt / 3 KW* 2 Nos / Koturpuram / LA / Civil / https://maps.app.goo.gl/RyxzrZvwTsyinVsY9 / 9841023587 ] ]</t>
  </si>
  <si>
    <t>to complete the civil work at site</t>
  </si>
  <si>
    <t>[ 17/12/2025 - Civil work completed by Sathyaraj &amp; 2 Labours ]</t>
  </si>
  <si>
    <t>[ 20/12/2025 - Electrical work completed ,  Waiting for Net Meter ]</t>
  </si>
  <si>
    <t>[ 5 KWp / Adani / 620 Wp / DCR / On Grid / Elevated / LA / Civil / 7358195224 / Mahendran / https://maps.app.goo.gl/Vt5Yji77D3ESPH7YA ]</t>
  </si>
  <si>
    <t>[ 2 KWp * 4 Nos / DCR / Adani / 550 Wp / Sathik / 7845578355 / Besant Nagar, LA &amp; Civil  - Customer Scope / https://maps.app.goo.gl/h3ZCZ8wLKdzwQWQC9 ]</t>
  </si>
  <si>
    <r>
      <rPr>
        <rFont val="Tahoma"/>
      </rPr>
      <t xml:space="preserve">[ DCR / 4.3 KWp / Elevated / Adani / 620 Wp / 7 Nos / LA &amp; Civil - Shiroi / 8754496322 / </t>
    </r>
    <r>
      <rPr>
        <rFont val="Tahoma"/>
        <color rgb="FF1155CC"/>
        <u/>
      </rPr>
      <t>https://maps.app.goo.gl/yMFTsL4UtkzTTwbq5</t>
    </r>
    <r>
      <rPr>
        <rFont val="Tahoma"/>
      </rPr>
      <t xml:space="preserve"> ]</t>
    </r>
  </si>
  <si>
    <r>
      <rPr>
        <rFont val="Tahoma"/>
      </rPr>
      <t xml:space="preserve">[ 8.8 KWp / NON DCR / Low Raise / On grid / Anna Nagar / Site Eng Mr Ganesh / 7299111125 / 8 KW Inverter / Deye / </t>
    </r>
    <r>
      <rPr>
        <rFont val="Tahoma"/>
        <color rgb="FF1155CC"/>
        <u/>
      </rPr>
      <t>https://maps.app.goo.gl/dxbcs8gStuondizb6</t>
    </r>
    <r>
      <rPr>
        <rFont val="Tahoma"/>
      </rPr>
      <t>]</t>
    </r>
  </si>
  <si>
    <t>Khurinji's Orchid</t>
  </si>
  <si>
    <r>
      <rPr>
        <rFont val="Tahoma"/>
        <color rgb="FF000000"/>
      </rPr>
      <t xml:space="preserve">[ 5 KWp / NDCR / On Grid / Elevated / Mr Pruthiviraj / 9840868033 / </t>
    </r>
    <r>
      <rPr>
        <rFont val="Tahoma"/>
        <color rgb="FF1155CC"/>
        <u/>
      </rPr>
      <t>https://maps.app.goo.gl/JtX49QihjMFe81No8</t>
    </r>
    <r>
      <rPr>
        <rFont val="Tahoma"/>
        <color rgb="FF000000"/>
      </rPr>
      <t xml:space="preserve"> ]</t>
    </r>
  </si>
  <si>
    <t>[ 4.4 KWp / NDCR / On Grid / LOw Raise / Mr Prabhu / 9841269052 / Thiruvanmiyur / https://maps.app.goo.gl/yhEHYkSH9kA2Rvbm7]</t>
  </si>
  <si>
    <t>to install net meter</t>
  </si>
  <si>
    <t>[ 26/12/2025 - Net Meter installed at site &amp; commissioning done ]</t>
  </si>
  <si>
    <t>to complete str Work</t>
  </si>
  <si>
    <t>[ 31/12/2025 to 03/1/2026  - Structure Materials delivered to site &amp; Completed by Lourduraj with One full Coat Painting ]</t>
  </si>
  <si>
    <t>[ 02/01/2026 to 03/01/2026 - Electrical materials delivered to site and completed all work by Manikandan &amp; Mohan ]</t>
  </si>
  <si>
    <t>to complete the civil Work</t>
  </si>
  <si>
    <t>Civil Work completed</t>
  </si>
  <si>
    <t>[ 20 KWp / Low Raise , On Grid , Guduvanchery / https://maps.app.goo.gl/pfiz8y8fy8GbdCe26 / 99942 98783 / Ramanathan ]</t>
  </si>
  <si>
    <t>[ Str &amp; Panels delivered to site - un loaded by labours ]</t>
  </si>
  <si>
    <t>[ 07/01/2026 - Structure Materials shifted to terrace &amp; completed installation by Sriram labours / 4+4 Nos ] / [ 08/01/2026 - 34 Nos Panels shifted to terrace - 4 Labours ] / [ 09/01/2026 - Panel installation completed by Sriram labour 4 Nos ]</t>
  </si>
  <si>
    <t>to complete electrical work -  all three towers</t>
  </si>
  <si>
    <t>[ 24/02/2026 - All electrical materials are ready at Shiroi Office , yet to dispatch to site ] /</t>
  </si>
  <si>
    <t>[ 12/01/2026 - Electrical Materials delivered to site and completed DC wiring &amp; inverter installation by Manikandan &amp; Mohan] / [ 13/01/2026  - AC Wiring &amp; Earth wiring Com Mohan ]</t>
  </si>
  <si>
    <t>[ 03/02/2026 - Net Meter installed by Ramachandran ] / [ 04/02/2026 - System commissioning done by Manikandan ]</t>
  </si>
  <si>
    <t>to deliver the str &amp; panels to site , Installation</t>
  </si>
  <si>
    <t>[ 12/01/2026 - Panels delivered to site by Sathyaraj ] / [ 13/01/2026 - Structure delivered to site by Manikandan &amp; installed structure , Panels at site with help of two labours ]</t>
  </si>
  <si>
    <t>[ 20/01/2026 - 21/01/2026 - Electrical materials delivered to site and completed the same at site by Manikandan &amp; Mohan]</t>
  </si>
  <si>
    <t>to complete the final termination &amp; install the generation meter</t>
  </si>
  <si>
    <t>Waiting for Net Meter &amp; CEIG - Client Scope</t>
  </si>
  <si>
    <t>[ 03/01/2026 - Panels delivered to site by Manivel &amp; Keshav ] / [ 07/01/2026 - Panels Shifted to terrace and fixed as temporary arrangements to get a CC, Supplied triangle structure to site by Sathyaraj &amp; 3 Labours ]</t>
  </si>
  <si>
    <t>[ 09/03/2026 - Site Clearance got and deisgn confirmation got on 11/03/2026 by Manivel ]</t>
  </si>
  <si>
    <t>[ 23/01/2025 - Panels received at Shiroi office ] / [ 24/01/2026 - Structure order placed with green field ] / [ 29/01/2026 - Structure and panels delivered to site by Anbarasan &amp; Manikandan ]</t>
  </si>
  <si>
    <t>[ 13/01/2026- Net Meter installed at site ] / [ 14/01/2026 - System Commissioning done and system is working normal ]</t>
  </si>
  <si>
    <t>[ 3.3 KWp / Low Raise / On Grid / Non DCR / Velachery / https://maps.app.goo.gl/AsjP3UeYq8yGMzjR8 / 82205 42028 - Site Eng ]</t>
  </si>
  <si>
    <t>to change meter connection</t>
  </si>
  <si>
    <t>Meter connection inter changed</t>
  </si>
  <si>
    <t>[ 10 KWp / 10 KW AC , On Grid , GI Low Rise , Growatt Inverter, Vikram Panel , Thalambur ]</t>
  </si>
  <si>
    <t>site visit</t>
  </si>
  <si>
    <t>Went site and discussed the panel location and table arrangements to construct the pedestal work , Civil Work client scope</t>
  </si>
  <si>
    <t>to complete demo &amp; get signature in the commissioning report</t>
  </si>
  <si>
    <t>Demo for MEP Manager Selvam , completed for bith tower urbania &amp; optima</t>
  </si>
  <si>
    <t>[ 5.5 KWp / 5 KW AC, On Grid / Elevated / DCR / https://maps.app.goo.gl/d9gtAhirro9ZzX8m9 / Mr  Sundar / 98410 87323 / LA &amp; Civil - Shiroi ]</t>
  </si>
  <si>
    <t>[ 20/01/2026 - 22/01/2026 - Structure &amp; Panel installation work completed by Mr Lourduraj ]</t>
  </si>
  <si>
    <t>[ 22/01/2026 - Electrical Materials delivered to site and started work by Contractor Sriram] / [ 23/01/2026 - Electrical work and earth pit installation work completed by contractor Sriram ]</t>
  </si>
  <si>
    <t>Manikandan &amp; Manivel</t>
  </si>
  <si>
    <t>to complete civil work &amp; floor painting</t>
  </si>
  <si>
    <t>[ 27/01/2026 - Civil materials delivered to site and completed the 6 Nos pedestal work by Sathyaraj &amp; 3 Labours ] / [ 28/01/2025 - Plastering work and earth pit chamber work completed by Sathyaraj &amp; 3 Labours ]</t>
  </si>
  <si>
    <t>to complete net meter installation</t>
  </si>
  <si>
    <t>[ 03/02/2026 - Meter installed at site ] / [ 04/02/2026 - System commissioning and demo done by Manivel ]</t>
  </si>
  <si>
    <t>to deliver the str &amp; complete the installation</t>
  </si>
  <si>
    <t>16th March - Structure delivered to site / 17th March - structure installation done by Anbarasan</t>
  </si>
  <si>
    <t>Anbarasan &amp; Mohan</t>
  </si>
  <si>
    <t>[ 14/01/2026 - Structure Materials &amp; panels delivered to site and work initiated by Lourduraj ] / [ 15/01/2026 - Structure &amp; Panel Work completed by Lourduraj ]</t>
  </si>
  <si>
    <t>to check load details for back up lines</t>
  </si>
  <si>
    <t>[ 13/01/2026 - Discussed with Architect and customer about the backup load details ] / [ 24/01/2026 - They have shared the no of load for back up calculations ] / [ 27/01/2026 - Have shared the load details with Prem and architect to confirm the loads ] / [ 09/02/2026 - Manikandan &amp; electrician discussed about load details with Client ] /</t>
  </si>
  <si>
    <t>to complete structure re painting work</t>
  </si>
  <si>
    <t>[ 23/01/2026 - Structure base painting work completed by Lourduraj ] / [ 27/01/2026 - Structure Painting work completed and system re commissioning has been done by Lourduraj &amp; Manikandan ]</t>
  </si>
  <si>
    <t>to complete the final terminations &amp; sys commissioning</t>
  </si>
  <si>
    <t>[ 07/04/2025 - Final termination &amp; system commissioning done by Manikandan &amp; Mohan ] / [ 08/06/2026 - Commissioning report &amp; handover report sent to them via mail by Manivel ]</t>
  </si>
  <si>
    <t>[ 27/01/2026 - Electrical Materials &amp; Panels delivered to site , completed DC wiring work by Anbarasan &amp; Mohan ] / [ 28/01/2026 - Mini Rails delivered to site and completed panel installation by Anbarasan &amp; Manikandan ] / to complete wiring</t>
  </si>
  <si>
    <t>[ 30/01/2026 - Structure &amp; Panels shifted to terrace and completed the installation for the same - with 3 Labours]</t>
  </si>
  <si>
    <t>site clearance for rest of electrical works</t>
  </si>
  <si>
    <t>[ 22/01/2026 - Panels delivered to site by Mohan &amp; Anbarasan ] / [ 28/01/2026 - Structure delivered to site and shifted to panels, structure to terrace by Mohan &amp; 3 Labours ]</t>
  </si>
  <si>
    <t>[ Mr Sankaranarayan / 9789948922 / Deye 3 KW / On Grid / Elevated / Madampakkam ]</t>
  </si>
  <si>
    <t>to complete str &amp; panel installation</t>
  </si>
  <si>
    <t>[ 30/01/2026 - Str installation completed by Manikandan &amp; Mohan ] / [ 31/01/2026 - Panels installation completed by Manikandan &amp; Mohan ]</t>
  </si>
  <si>
    <t>to deliver the panels to site and complete installation at tower A</t>
  </si>
  <si>
    <t>[ 21/01/2026 - 34 Nos / Panels are delivered to site and stored ground floor by sathyaraj along with rental panels 30 Nos ] / [ 24/01/2026 - Rental panels are shifted to terrace by sathyaraj &amp; team 3 Nos ] / [ 29/01/2026 - Rental panels fixed at site and permanent panels are shifted to 13th floor from ground floor by sathyaraj &amp; team 3 Nos ]</t>
  </si>
  <si>
    <t>to complete electrical  work</t>
  </si>
  <si>
    <t>[ 02/02/2026 - Electrical Materials delivered to site and completed the same at site , Structure &amp; panel work also done by Mr Rajesh ]</t>
  </si>
  <si>
    <t>Manikandan, Anbarasan &amp; mohan</t>
  </si>
  <si>
    <t>to complete the final termination and system commissioning</t>
  </si>
  <si>
    <t>Waiting for Net meter / Meter Shiroi Scope</t>
  </si>
  <si>
    <t>[ https://maps.app.goo.gl/XJHpbu3nLAnMF6jb7 / 4.4 KWp / On Grid Low Rise / Nanganallur /  98842 24570.- Govindaraju  ]</t>
  </si>
  <si>
    <t>[ 03/02/2026 - Structure and panels are shifted to terrace with three labours and structure along with 5 panel installation done ] / [ 10/02/2026 - Panels installed by Manikandan &amp; Mohan ]</t>
  </si>
  <si>
    <t>[ 04/02/2026 - Structure &amp; Panels delivered to site and shifted to terrace , installation also has been done by sathyaraj &amp; 3 labours ]</t>
  </si>
  <si>
    <t>[ 97871 55908 /  Viswanathan / https://maps.app.goo.gl/ehWhHdhUCjVasfoX7 / Saligramam / On grid / Low Rise / Non DCR / 30 KWp / 25 KW AC ]</t>
  </si>
  <si>
    <t>[ 27/01/2026 - Net Meter installed at site ] / [ 28/01/2026 - System commissioning done by Manikandan ]</t>
  </si>
  <si>
    <t>to give demo to associate people</t>
  </si>
  <si>
    <t>[ 04/02/2026 - Demo completed ]</t>
  </si>
  <si>
    <t>10th Feb 2026 - Electrical Materials delivered to site by Sathyaraj &amp; 2 labours and completed the AC wiring &amp; inverter installation / 11th Feb 2026 - All electrical work done by Sathyaraj , except final terminations</t>
  </si>
  <si>
    <t>[ 10 KWp DC / 8 KW AC  - 3 Nos ] / 335 Wp - 60 Nos / Deye 8 KW - 3 Nos / Civil &amp; LA - Client Scope / Senthil Kumar / 9789489407  ]</t>
  </si>
  <si>
    <t>[ 600 Wp / 3 Nos / 1.8 KWp / 2.2 KW / On grid / Elevated / 9884216729 / Geetha / https://maps.app.goo.gl/9zhkPadVnf2iN4fC7 / RA Puram ]</t>
  </si>
  <si>
    <t>[ Mr Manickam / 9629205487 / 1.2 KWp DC / 1.5 KW AC / Adani / 620 Wp /  On Grid  / Elevated / DCR / Thuraipakkam / https://maps.app.goo.gl/KdY2HAznt3mqz1E77 ]</t>
  </si>
  <si>
    <t>[ 4.2 KWp DC / 4 KW AC / Adani / 600 Wp - 7 Nos / DCR / Elevated / Mr Aditya Baskar - 9790895977 / LA &amp; Civil / https://maps.app.goo.gl/KdY2HAznt3mqz1E77 / Thuraipakkam ]</t>
  </si>
  <si>
    <t xml:space="preserve">[ 8 KWp / 8 KW AC , ON Grid , Non DCR , Mini Rails , Alwarpet , 9361999911 / Satheesh / https://maps.app.goo.gl/eB4U7cpySJwaDSK76 ] </t>
  </si>
  <si>
    <t xml:space="preserve">to complete the net meter work </t>
  </si>
  <si>
    <t>[ 08/02/2026 - Net Meter installed at site ] / [ 10/02/2026 - System commissioning done by Manikandan &amp; Wi Fi configuration also has been done ]</t>
  </si>
  <si>
    <t>[ 05/02/2026 - Site Visit done and drawing request  mail sent , drawing received, asked design with design team ] / [ 12/02/2026 - Received design from team and shared the same with client via mail ] / [ 23/03/2026 - They asked to site visit to explain the module ] /</t>
  </si>
  <si>
    <t>[ 07/02/2026 - Electrical Materials delivered to site and completed the AC , Inverter wiring by Manikandan &amp; Mohan ] / [ 10/02/2026 - DC wiring and termination completed by Manikandan &amp; Mohan ]</t>
  </si>
  <si>
    <t>16th May 2026 - System Commissioning done by Anbarasan</t>
  </si>
  <si>
    <t>to complete the LA Installation &amp; termination 🚨</t>
  </si>
  <si>
    <t>[ 12/02/2026 - Tower A, LA installation and wiring work done by Manikandan &amp; Mohan ] / [</t>
  </si>
  <si>
    <t xml:space="preserve">to complete the str &amp; panel installation </t>
  </si>
  <si>
    <t>[ 14/02/2026 - Str &amp; panel installation completed by rajesh welder ]</t>
  </si>
  <si>
    <t xml:space="preserve">to complete the civil work </t>
  </si>
  <si>
    <t>[ 17/02/2026 - Civil Work Completed by Sathyaraj ]</t>
  </si>
  <si>
    <t>[ 13/02/2026 - Str and panels delivered to site and shifted them into terrace by Lourduraj ] / [ 14/02/2026 - Structure Post Erecting completed by Lourduraj ] / [ 16/02/2026 - Panel installation done by Welder ] / [</t>
  </si>
  <si>
    <t>[ 13/02/2026 - Structure &amp; panels delivered to site and shifted them into terrace by Lourduraj ] / [ 14/02/2026 - Structure post erecting done by Lourduraj  ] / [ 16/02/2026 - Panel installation done by Welder ]</t>
  </si>
  <si>
    <t>[ 30 KWp DC / 33 KW AC / Solar edge inverter with optimizer / Elevated / On Grid / Non DCR / LA &amp; Civil - Shiroi Scope / https://maps.app.goo.gl/eAZ1Suzw69vPBbFB9 ]</t>
  </si>
  <si>
    <t>[ 23/02/2026 - Got Site Clearance form them to start the str work at site ] / Yet to Start Str</t>
  </si>
  <si>
    <t>[ 4.2 KWp / 4 KW AC , On grid / DCR / Elevated / Adani / 600 Wp - 8 Nos , 4 KW inverter , deye , Single phase , LA &amp; Civil  - Shiroi Scope / Teynampet / https://maps.app.goo.gl/1eviA6inXGSYEABp6 / 9444079791 ]</t>
  </si>
  <si>
    <t xml:space="preserve">to deliver the str &amp; panels to site </t>
  </si>
  <si>
    <t>[ 21/02/2026 - Site Visit along with Welder done by Manivel ] / [ 26/02/2026 - Str &amp; Panels delivered to site and initiated the str work by Rajesh welder ] / [ 27/02/2026 - Str and panel installation completed by Rajesh welder ]</t>
  </si>
  <si>
    <t>Manikandan Sirkali</t>
  </si>
  <si>
    <t xml:space="preserve">to complete the electrical work </t>
  </si>
  <si>
    <t>[ 21/02/2026 - Electrical Materials delivered to site and initiated the work by Mohan &amp; Manikandan ] / [ 23/02/2026 - Except final termination all the work has been completed by Mohan &amp; Manikandan ] / [ 03/03/2026 - Final Termination done by Manikandan &amp; Mohan ]</t>
  </si>
  <si>
    <t>Mohan &amp; Manikandan</t>
  </si>
  <si>
    <t>[ 6.3 KWp / 6 KW AC / On grid Elevated / Non DCR /  https://maps.app.goo.gl/qu2EPEz7LYLWD3cW8 / Manapakkam / Waaree / 700 Wp - 9 Nos / Mr Yuvaraj / 95661 33366 / Civil &amp; LA - Shiroi Scope ]</t>
  </si>
  <si>
    <t>[ 02/03/2026 - Panels &amp; electrical materials are delivered to site by Manikandan Sirklai &amp; installed the panels &amp; structure work by Contractor Sriram ]</t>
  </si>
  <si>
    <t>[ 04/03/2026 - Structure &amp; Panels delivered to site by Lourduraj and shifted them to terrace ] / [ 05/03/2026 - Post installation completed ] / [ 06/03/2026 - Panels &amp; structure installation work completed by Lourduraj ]</t>
  </si>
  <si>
    <t>[ 28/02/2026 - Electrical materials delivered to site by Manikandan Sirkali &amp; Completed the Inverter, ACDB , DCDB &amp; Ac wiring &amp; Earthing Work ] / [ 02/03/2026 - DC Wiring &amp; LA Work completed , Civil Work also done by Sathyaraj team ]</t>
  </si>
  <si>
    <t>Manikandan &amp; Mohan &amp; Sathayarj</t>
  </si>
  <si>
    <t>[ 35.2 KWp / 35 KW AC , On Grid / Non DCR / Low Raise / Civil - Shiroi Scope / Thuraipakkam ]</t>
  </si>
  <si>
    <t>[ 28/02/2026 - Vikram , 550Wp , 64 Nos Delivered to site by Sathyaraj &amp; 6 Labours ] / [ 28/02/2026 - Revised design sent to Danaskeran them via WhatsApp by Manivel for design confirmation  ] / [ 03/03/2026 - Design confirmation got and structure order placed with green field ] / [ 10/03/2026 - Structure Materials delivered to site from green filed by Mohan with two labour ]</t>
  </si>
  <si>
    <t>[ 15 KWp / 12 KW AC , On Grid , Non DCR / Mini Rails / CEIG - Client Scope / 9486767757 / Krishnamurthy HM ]</t>
  </si>
  <si>
    <t>[ 3 KWp / 3.3 KW AC / ON Grid / DCR / Adani - 600 Wp - 5 Nos / Deye / Civil &amp; LA - Shiroi Scope / Anna Nagar / 9789986210 / https://maps.app.goo.gl/Qk75L4NHhEce1eKs9 ]</t>
  </si>
  <si>
    <t>Manikandan sirkali</t>
  </si>
  <si>
    <t>[ 03/03/2026 - Complete Electrical work has been done by contractor Sriram including final termination ]</t>
  </si>
  <si>
    <t>[ 06/03/2026 - Panels delivered to site by Manikandan &amp; structure work completed by Rajesh Welder ]</t>
  </si>
  <si>
    <t>to done the panel dismantling &amp; re installation</t>
  </si>
  <si>
    <t>Structure &amp; Panel installation work Completed by Rajesh Welder</t>
  </si>
  <si>
    <t>[ 3.6 KWp * 2 Nos / Adani / 600 Wp *12 Nos / Deye 3.3 KW *2 Nos / LA &amp; Civil - Shiroi Scope / https://maps.app.goo.gl/8qhtawt1WVroogg9A / 9710401371 / Parasuraman ]</t>
  </si>
  <si>
    <t>[ Aravind Alamelu / 99401 79029 / 620 Wp * 16 Nos = 9.9 KWp Adani Panel Non DCR / 8 KWp on grid Polycab inverter / Elevated / Civil work - Shiroi Scope /  Earthing - 2 Nos ] / [ https://maps.app.goo.gl/oA6kTNhkkzXgYUic9 ]</t>
  </si>
  <si>
    <t xml:space="preserve">[ 09/03/2026 - Net Meter installed at site ] / [ 10/03/2026 - Final termination and system commissioning has been done by Manikandan A &amp; Manikandan ] </t>
  </si>
  <si>
    <t>to complete system commissioning &amp; demo</t>
  </si>
  <si>
    <t>[ 11/03/2026 - System commissioning has been done by Manikandan and the system is working within operating limits ]</t>
  </si>
  <si>
    <t>[ https://maps.app.goo.gl/5BWb6KDibeNwRTbW8 / Mr  Solai Ayyar / 9884797847 / 5 KWp &amp; 4 KWp [ 5 KW AC Three Phase &amp; 4 KW Ac Single Phase - Deye Make / Premier / 600 Wp * 16 Nos / DCR &amp; On Grid /  GI / Elevated Civil &amp; LA : Shiroi Scope / Rama Puram ]</t>
  </si>
  <si>
    <t xml:space="preserve">to replace the indication lamp at the ACDB side </t>
  </si>
  <si>
    <t>indication lamp replaced and the system is working within the operating limits</t>
  </si>
  <si>
    <t>[ 14/03/2026 - Str and panels delivered to site vy Lourduraj ] / [ 16/03/2026 &amp; 17/03/2026 - Structure installation and panel installation done by Lourduraj ]</t>
  </si>
  <si>
    <t>Manikadan &amp; A Manikandan</t>
  </si>
  <si>
    <t>[ 16/03/2026 &amp; 17/03/2026 - Electrical materials delivered to site and completed the installation by Manikandan &amp; A Manikandan ]</t>
  </si>
  <si>
    <t>Manikandan &amp; A Manikandan</t>
  </si>
  <si>
    <t>[Mr Sairam / 5 kWp / 9841473488 / On grid / Low raise / DCR / Anna Nagar / Renew/550Wp/9Nos / DEYE/5 KW/Three Phase ]</t>
  </si>
  <si>
    <t>[ 8.6 KWp / 2*4 KW AC / Adani / 620 Wp *14 Nos / Havells *2 Nos /  On Grid / Elevated / DCR / LA &amp; Civil - Shiroi Scope / Mr Amit / 98412 59225 / https://maps.app.goo.gl/WZFscTyJonH35TVv5 ]</t>
  </si>
  <si>
    <t>[ Mr Natarajan / 9841269164 / 6.6 KWp / Deye -  6 KW AC /  550 Wp * 12 Nos / Mylapore ]</t>
  </si>
  <si>
    <t>[ 07/03/2026 - Drawing received from them ] / [19/03/2026 - Module layout and sectional view design sent to them ] / [  20/03/2026 - Spoke with him for get an appointment ]</t>
  </si>
  <si>
    <t>Mr Solai  Ayyar</t>
  </si>
  <si>
    <t>16/03/2026 - Panels delivered to site by Sathyaraj &amp; structure delivered by Mr Rajesh , 18/03/2026 - Structure post erection done by Rajesh welder , 19/03/2026 - Panel shifting , Structure installation and panel installation done by Mr Rajesh Welder</t>
  </si>
  <si>
    <t xml:space="preserve">to complete the site visit and check the feasibility for structure installation </t>
  </si>
  <si>
    <t>Site visit and discussion done with client to implement the 16 KWp solar system, advance Cheque collected from them</t>
  </si>
  <si>
    <t xml:space="preserve">to get a BG </t>
  </si>
  <si>
    <t>BG received from them</t>
  </si>
  <si>
    <t>[ 20/03/2026 - Revised Module Layout sent to karan to get a design confirmation by Manivel  ] /</t>
  </si>
  <si>
    <t>to complete the str installation</t>
  </si>
  <si>
    <t>[ 18/03/2026 - Structure shifting work done by Anbarasan &amp; Manikandan A with two labour ] / [ 19/03/2026 - 7 table Structure installation work done by Anbarasan &amp; Manikandan, Manikandan A ] / [ 20/03/2026 - Balance three table structure installation done by Manikandan A, Manikandan, Mohan, Anbarasan ]</t>
  </si>
  <si>
    <t>civil work completed by sathayaj</t>
  </si>
  <si>
    <t xml:space="preserve">complete the civil work </t>
  </si>
  <si>
    <t>[ 20/03/2026 - Civil Materials delivered to site and shifted to terrace ] / Civil Work done</t>
  </si>
  <si>
    <t>Electrical work done</t>
  </si>
  <si>
    <t>Manikandan &amp; Manikandan A</t>
  </si>
  <si>
    <t>[ Complete electrical work and LA done by Manikandan , Manikandan A, the system is ready to commissioning ]</t>
  </si>
  <si>
    <t xml:space="preserve">to done system commissioning </t>
  </si>
  <si>
    <t>Net Meter installed at site &amp; System Commissioning done on 21/03/2026 by Manivel</t>
  </si>
  <si>
    <t>25th April 2026 - System Commissioning has been done by Manikandan</t>
  </si>
  <si>
    <t>to complete the sys installation</t>
  </si>
  <si>
    <t>[ 17/04/2026 - 23/04/2026 - Structure , Panel , Electrical work completed by Mr Rajesh Contractor ]</t>
  </si>
  <si>
    <t>[ 09/04/2026 - Electrical Materials delivered to site and started installation ] / [ 10/04/2026 - Complete wiring has been done , except Inverter installation ] / Yet to deliver the inverter to site</t>
  </si>
  <si>
    <t>[ 7.7 KWp / NON DCR / GI Low Raise / On Grid / 8 KW Deye Inverter / Ashok Nagar / Arun Balaji - 9840313335 ]</t>
  </si>
  <si>
    <t>to complete structure &amp; panel installation</t>
  </si>
  <si>
    <t>[ 26/04/2026 - Structure &amp; Panels, Electrical Materials are delivered to site by Manikandan &amp; Mohan ] / [ 27/04/2026 - Inverter, DCDB, ACDB &amp; Structure installation done by Manikandan &amp; Manikandan A with two Labour ]</t>
  </si>
  <si>
    <t>[ 4.4 KWp , 550 Wp - 8 Nos , Non DCR , GI Low Raise / 4 KW - Single Phase , Deye / Kilpauk / Mr Prabhu - 7299925959 / Mr Palanivel - 8610648821 ]</t>
  </si>
  <si>
    <t>to visit the site and check the design feasibility , Bill of items</t>
  </si>
  <si>
    <t>[ 21/04/2026 - Site Visit done By Anbarasan &amp; got design confirmation ] / [ 27/04/2026 - Bill of items received ]</t>
  </si>
  <si>
    <t>[ 27/04/2026 - Site Visit &amp; design confirmation got by Anbarasan ]</t>
  </si>
  <si>
    <t>Anbarasan &amp; Manikandan A</t>
  </si>
  <si>
    <t>6th May 2026 - Structure Materials are delivered to site by Anbarasan &amp; Mohan</t>
  </si>
  <si>
    <t xml:space="preserve">Wi Fi configuration </t>
  </si>
  <si>
    <t>[ Pradheepsolar, Solar@123 ] . Polycab Inverter</t>
  </si>
  <si>
    <t>[ 620 Wp * 5 Nos , DCR , GI Elevated , 3 KWp Polycab Inverter, Adyar, LA &amp; Civil - Shiroi Scope , Mr Balaji / 9962090556 ]</t>
  </si>
  <si>
    <t>[ Client Name : Mr Murali System Size : 4.8 KWp DC / 5 KW AC Panel Make &amp; Qty : Adani / 600 Wp / 8 Nos Inverter Make &amp; Qty : Deye / Three Phase / 5 KW Type of System : DCR  Type of Mountings : GI Elevated  No of Earthing's : 2 Sets  LA : Shiroi Scope Civil : Shiroi Scope Contact No : 79040 14743 Complete Address :12/266, Parvati Apartments, Ella Rajamanickam Street, Pammal , Chennai - 74 / Map Link - https://maps.app.goo.gl/h3QAGm5bUEfh3Rnf6 ]</t>
  </si>
  <si>
    <t>[ 06/05/2026 - Structure &amp; Panels are delivered to site by Anbarasan &amp; Mohan ] / [ 07/05/2026 - Structure , Panels Shifting &amp; installation done by Anbarasan , Manikandan A with two labour ]</t>
  </si>
  <si>
    <t>[ 11/03/2026 - DC wiring &amp; earth work completed by Manikandan &amp; Mohan ] / [ 07/05/2026 - Inverter ,ACDB &amp; DCDB delivered to site and installation was done including its termination, Pending is final terminations ]</t>
  </si>
  <si>
    <t>to complete final terminations</t>
  </si>
  <si>
    <t>[ Waiting for Meter installation ]</t>
  </si>
  <si>
    <t>9th May - Electrical Materials are delivered to site and completed DC Wiring work / 5th June - Final termination and earth wiring work done</t>
  </si>
  <si>
    <t>to complete generation meter installation and terminations</t>
  </si>
  <si>
    <t>9th April 2026 - Generation meter panel delivered to site by Sathyaraj / 13th May 2026 - Generation Meter installed at site and Completed the final terminations by Sriram contractor</t>
  </si>
  <si>
    <t>8th April 2026- Structure Materials are delivered to site and started installation , Panels are delivered to site, 9th April 2026 structure &amp; panels installation done by Mr Rajesh</t>
  </si>
  <si>
    <t>9th April 2026 electrical materials are delivered to site and inverter installation and ac wiring done by Manikandan &amp; Mohan, 11th April 2026 - All electrical work done by Manikandan &amp; Mohan</t>
  </si>
  <si>
    <t>to dispatch materials to site</t>
  </si>
  <si>
    <t>9th May - Discussed with client and get approval to proceed further / 12th May - Bill of items prepared and asked to proceed procurement / 14th May - Structure Order placed with Thanigai / 15th May 2026 - Panels are received and unloaded at office / 16th May 2026 - Complete electrical materials dispatched to site from Shiroi Office / 18th May - Materials are delivered to site</t>
  </si>
  <si>
    <t>to place the structure order</t>
  </si>
  <si>
    <t>14th May - Structure enquiry Placed with green field by Manivel / 15th May 2026 - Structure order Placed with green Field</t>
  </si>
  <si>
    <t>to complete the site visit along with welder</t>
  </si>
  <si>
    <t>14th May 2026 - Site Visit and design discussion done with fabricator and client by Manivel / 15th May 2026 - revised and final design sent to client to get confirmation by Manivel / 16th May - Got design confirmation</t>
  </si>
  <si>
    <t>to complete inverter installation</t>
  </si>
  <si>
    <t>30th Dec 2025 - Inverter delivered to site and done the terminations</t>
  </si>
  <si>
    <t>to be done system commissioning</t>
  </si>
  <si>
    <t>18th April 2026 - Net Meter installed at site / 20th April 2026 - System Commissioning and demo done</t>
  </si>
  <si>
    <t>to send design and get conformation</t>
  </si>
  <si>
    <t>Got confirmation</t>
  </si>
  <si>
    <t>20th April 2026 - Design sent to them via mail / 28th April 2026 - got design confirmation</t>
  </si>
  <si>
    <t>to place structure order and delivery the same to site</t>
  </si>
  <si>
    <t>29th April 2026 - Structure order placed with green field / 12th Amy 2026 - Structure Materials delivered to site and unloaded by sarthyaraj</t>
  </si>
  <si>
    <t>to deliver the panels to site</t>
  </si>
  <si>
    <t>Kesavamoorthy</t>
  </si>
  <si>
    <t>12th May 2026 - 40 Nos of Panels delivered to site and unloaded by Sathyaraj / 13th May 2026 - 80 No of Panels delivered to site and unloaded by Sathyaraj</t>
  </si>
  <si>
    <t>12th May 2026 - Structure received at site and 40 Nos of panels unloaded at site with 3 Labours / 13th May 2026 - Structure Materials shifted to terrace and remaining 80 Panels unloaded at site with 3 Labours / 14th May 2026 - Structure installed for 60 No of solar panels with 3 Labours [ Manikandan &amp; Mohan ] / 15th May - 60 No of Panels fixed 3 Labours [ Mohan &amp; Sathyaraj ] / 16th May - Structure shifted to terrace for remaining 60 Nos with 3 labours / 17th May - Structure installed for the second table /18th May - rest of panel installation done, Completed structure &amp; panel installation</t>
  </si>
  <si>
    <t>8th May 2026 - Structure &amp; panel installation done</t>
  </si>
  <si>
    <t>13th May 2026 - Electrical Materials are delivered to site and DC, AC cabling work done / 14th May 2026 - Inverter installation and earth cable laying work done / 15th May 2026 - Each cable and final termination done</t>
  </si>
  <si>
    <t>to submit letter to SE office about work completion</t>
  </si>
  <si>
    <t>to deliver the structure to site</t>
  </si>
  <si>
    <t>Structure &amp; Panel installation work Completed</t>
  </si>
  <si>
    <t>to visit the site and bill of items</t>
  </si>
  <si>
    <t>16th May 2026 - Site Visit done by Anbarasan for bill of items</t>
  </si>
  <si>
    <t>to complete the final termination at the MV Panel side</t>
  </si>
  <si>
    <t>Final termination done</t>
  </si>
  <si>
    <t>yet to submit work completion letter to SE office</t>
  </si>
  <si>
    <t>18th May - Work Completion letter sent to Mr Muthu Raman to get signature, the same as well as submitted with SE office by Mr Muthu Raman</t>
  </si>
  <si>
    <t>to deliver the electrical items to site</t>
  </si>
  <si>
    <t>18th May - Inverter, DC, ACDB installation done by Thanigai team</t>
  </si>
  <si>
    <t>to visit site to check feasibility for Phase II</t>
  </si>
  <si>
    <t>Site visit done and discussed with KR about existing system ROI and Phase II feasibility</t>
  </si>
  <si>
    <t>to send handover report</t>
  </si>
  <si>
    <t>Handover report Softcopy sent to Srinivasan via mail</t>
  </si>
  <si>
    <t>21st May - Structure &amp; Panels delivered to site / 22nd May - Panels and structures are shifted to terrace</t>
  </si>
  <si>
    <t>to complete earth pit installation work</t>
  </si>
  <si>
    <t>22nd May - Earth pit delivered to site and completed the installation by Manikandan &amp; Mohan</t>
  </si>
  <si>
    <t>to deliver the panels to site and complete the installation</t>
  </si>
  <si>
    <t>to complete the panel installation</t>
  </si>
  <si>
    <t>Panel installation done</t>
  </si>
  <si>
    <t>Anbarasan &amp; Sathyaraj</t>
  </si>
  <si>
    <t>13th May - Electrical materials delivered to site and started installation, 14th May - Electrical work done, except battery and final termination</t>
  </si>
  <si>
    <t>to complete the final termination</t>
  </si>
  <si>
    <t>to deliver the Battery to site and complete the installation</t>
  </si>
  <si>
    <t>to complete site visit</t>
  </si>
  <si>
    <t>site visit and design confirmation got</t>
  </si>
  <si>
    <t>to complete structure installation</t>
  </si>
  <si>
    <t>2nd June - Structure Materials delivered to site by Lourduraj / 3rd June - Structure Materials shifted to terrace by Lourduraj</t>
  </si>
  <si>
    <t>to delivery the rest of electrical materials to site</t>
  </si>
  <si>
    <t>Complete electrical items delivered to site [ Anbarasan &amp; Mohan with two labours ]</t>
  </si>
  <si>
    <t>to complete site visit to discuss with PM for electrical routings</t>
  </si>
  <si>
    <t>site meeting done along with contractor Sriram , complete cable routings are discussed with PM</t>
  </si>
  <si>
    <t>yet to get confirm inverter location from Project Manager</t>
  </si>
  <si>
    <t>to complete the relocation of meter panel -client scope</t>
  </si>
  <si>
    <t>22nd May - went AD office to get confirmation for meter panel relocation</t>
  </si>
  <si>
    <t>system commissioning and demo completed</t>
  </si>
  <si>
    <t>Site Visit done for discuss with her about complete hybrid setup</t>
  </si>
  <si>
    <t>Site visit done to check each Phase load Analysis along with their electrical person</t>
  </si>
  <si>
    <t>Material Procurement</t>
  </si>
  <si>
    <t>Discussed with deye team and finalize the order for 5 KW Single phase inverter and 10 KWh battery Wall mount</t>
  </si>
  <si>
    <t>to deliver panels to site</t>
  </si>
  <si>
    <t>System commissioned</t>
  </si>
  <si>
    <t>to delivery the electrical materials to site</t>
  </si>
  <si>
    <t>System commissioning done</t>
  </si>
  <si>
    <t>yet to configure aggregator unit</t>
  </si>
  <si>
    <t>Client Name</t>
  </si>
  <si>
    <t>Mobile No</t>
  </si>
  <si>
    <t>Mail ID</t>
  </si>
  <si>
    <t>Shipping Address</t>
  </si>
  <si>
    <t>Billing Address</t>
  </si>
  <si>
    <t>Google Maps</t>
  </si>
  <si>
    <t>Sys Size</t>
  </si>
  <si>
    <t>Category</t>
  </si>
  <si>
    <t>Mounting Types</t>
  </si>
  <si>
    <t>Type of Sys</t>
  </si>
  <si>
    <t>Panel Make &amp; Qty</t>
  </si>
  <si>
    <t>Inverter Make &amp; Qty</t>
  </si>
  <si>
    <t>Cable Make</t>
  </si>
  <si>
    <t>LA Scope</t>
  </si>
  <si>
    <t>Civil Scope</t>
  </si>
  <si>
    <t>TNEB Scope</t>
  </si>
  <si>
    <t>CEIG Scope</t>
  </si>
  <si>
    <t>Green valley</t>
  </si>
  <si>
    <t>vel@gmail,com</t>
  </si>
  <si>
    <t>Adyar, Chennai</t>
  </si>
  <si>
    <t>10 KWp</t>
  </si>
  <si>
    <t>On Grid</t>
  </si>
  <si>
    <t>GI Elevated</t>
  </si>
  <si>
    <t>NDCR</t>
  </si>
  <si>
    <t>610 &amp; 18 Nos</t>
  </si>
  <si>
    <t>Deye , 10 KW , On grid</t>
  </si>
  <si>
    <t>Polycab</t>
  </si>
  <si>
    <t>Shiroi</t>
  </si>
  <si>
    <t>DCR</t>
  </si>
  <si>
    <t>Adani</t>
  </si>
  <si>
    <t>Dye</t>
  </si>
  <si>
    <t>16, Parvati Apartments, Ella Rajamanickam Street, Pammal, Chennai - 600074</t>
  </si>
  <si>
    <t>https://maps.app.goo.gl/B5oVPz3nfqGFCFcU6</t>
  </si>
  <si>
    <t>4.8 KWp</t>
  </si>
  <si>
    <t>Adani /620 /8 Nos</t>
  </si>
  <si>
    <t>Deye / 6KW / Three Phase / On grid</t>
  </si>
  <si>
    <t>Ramaniyam Realtors LLP</t>
  </si>
  <si>
    <t>RCC Low Raise</t>
  </si>
  <si>
    <t>555 Wp / 8 Nos</t>
  </si>
  <si>
    <t>Deye / 4 KW / Single Phase</t>
  </si>
  <si>
    <t>Client</t>
  </si>
  <si>
    <t>Navin Housing and Properties Private Ltd</t>
  </si>
  <si>
    <t>Purchase@navins.in</t>
  </si>
  <si>
    <t>Navins Starwood Towers Phase III
Mambakkam - Medavakkam Main Rd, Vengavasal, Chennai, Tamil Nadu 600126
Site Contact: 8754580105 / 9487391687
Contact Person: Mr. Thangaraj / Mr. Rajakumar</t>
  </si>
  <si>
    <t>NAVIN HOUSING AND PROPERTIES (P) LTD
Corp Off: Navins Triumph NEW NO 804 AND 802, ANNA SALAI, NANDANAM, CHENNAI, TAMIL NADU, 600035
GST No: 33AAACN9269M1ZY
PAN No: AAACN9269M</t>
  </si>
  <si>
    <t>https://maps.app.goo.gl/xudana92YAW9vNRdA</t>
  </si>
  <si>
    <t>Adani / Waaree / 600 / 60 Nos</t>
  </si>
  <si>
    <t>Deye / 40 KW / Three Phase</t>
  </si>
  <si>
    <t>M/s. Chennai Premium projects Pvt Ltd</t>
  </si>
  <si>
    <t xml:space="preserve">Mr Sridhar / 9841072889 </t>
  </si>
  <si>
    <t>https://maps.app.goo.gl/c6wS6b9ZcwRuBJd3A</t>
  </si>
  <si>
    <t>RCC / GI Low Raise</t>
  </si>
  <si>
    <t>Renew / 590 Wp /10 Nos</t>
  </si>
  <si>
    <t>6 KW / Deye/ Three Phase</t>
  </si>
  <si>
    <t>RCC / GI Elevated</t>
  </si>
  <si>
    <t>Not Applicable</t>
  </si>
  <si>
    <t>Krishna Group</t>
  </si>
  <si>
    <t>9677228304 / Prasath</t>
  </si>
  <si>
    <t>https://maps.app.goo.gl/6frbBzJMd31v1uV3A</t>
  </si>
  <si>
    <t>Axitec / 550 Wp / 6 Nos</t>
  </si>
  <si>
    <t>32nd Cross Street, Besant Nagar, Chennai - 600090</t>
  </si>
  <si>
    <t>https://maps.app.goo.gl/a9FXmmvfVpTwD46t8</t>
  </si>
  <si>
    <t>Hybrid</t>
  </si>
  <si>
    <t>Waaree / 600 Wp / 8 Nos</t>
  </si>
  <si>
    <t xml:space="preserve">5 KW / Polycab / Three Phase </t>
  </si>
  <si>
    <t>94434 91391</t>
  </si>
  <si>
    <t>https://maps.app.goo.gl/nr21graFQKehvPih9</t>
  </si>
  <si>
    <t>2*3 KWp</t>
  </si>
  <si>
    <t xml:space="preserve">Adani / Vikram </t>
  </si>
  <si>
    <t>Deye / 3.3 KW *2 Nos / Single Phase</t>
  </si>
  <si>
    <t>https://maps.app.goo.gl/PU295WVtwEvxCRHSA</t>
  </si>
  <si>
    <t>3.3 * 2 Nos</t>
  </si>
  <si>
    <t>https://maps.app.goo.gl/XdSob6JbdHqrxJ949</t>
  </si>
  <si>
    <t xml:space="preserve">600 Wp / 8 Nos / Adani </t>
  </si>
  <si>
    <t>Deye / 5 KWp / Three Phase</t>
  </si>
  <si>
    <t>11/6 Krishnaswamy st, Abiramapuram , Chennai 18</t>
  </si>
  <si>
    <t>https://maps.app.goo.gl/QFXDJRuagZnYm1gn6</t>
  </si>
  <si>
    <t>Adani / 600 Wp / 5 Nos</t>
  </si>
  <si>
    <t>Deye / 3.3 KW / Single phase</t>
  </si>
  <si>
    <t>https://maps.app.goo.gl/gKb6QtSH52Gm1hsd8</t>
  </si>
  <si>
    <t xml:space="preserve">11 KWp [ 4.2 * 2 Nos , 2.2 *1 Nos ] </t>
  </si>
  <si>
    <t>Premier / 610 Wp / 18 Nos</t>
  </si>
  <si>
    <t xml:space="preserve">Deye - [ 5 KW * 2 Nos - Three Phase , 3.3 KW *1 No - Single phase ] </t>
  </si>
  <si>
    <t>DRA</t>
  </si>
  <si>
    <t>20 KWp</t>
  </si>
  <si>
    <t>620 Wp Vikram / 29 Nos</t>
  </si>
  <si>
    <t>Deye &amp; 20 KW</t>
  </si>
  <si>
    <t>Sri Krishna Sweets Factory</t>
  </si>
  <si>
    <t>100 kWp</t>
  </si>
  <si>
    <t>GI Metal Sheet / Long Rails</t>
  </si>
  <si>
    <t xml:space="preserve">550 Wp </t>
  </si>
  <si>
    <t xml:space="preserve">100 KW / Goodwe </t>
  </si>
  <si>
    <t>No</t>
  </si>
  <si>
    <t>Project Cost</t>
  </si>
  <si>
    <t>Actual Cost</t>
  </si>
  <si>
    <t>Est Profit</t>
  </si>
  <si>
    <t>Act Profit</t>
  </si>
  <si>
    <t>Year</t>
  </si>
  <si>
    <t>Profit In rs</t>
  </si>
  <si>
    <t>Assigned date</t>
  </si>
  <si>
    <t>Credit Amount</t>
  </si>
  <si>
    <t>to perform general AMC</t>
  </si>
  <si>
    <t xml:space="preserve">Mobile No - 8248637387 , [ 24/12/2025 - General AMC done ] </t>
  </si>
  <si>
    <t>Rahul Acharya</t>
  </si>
  <si>
    <t>to give quotation for on grid &amp; off grid systesm</t>
  </si>
  <si>
    <t>[ 9841099169 / Rahul ] / [ 04/12/2025 - general Quote sent to him ] / [ 05/02/2026 - Individual Panel's conditions survey done by Sathyaraj ] / Needs to discuss with him</t>
  </si>
  <si>
    <t>Theosophical Society</t>
  </si>
  <si>
    <t>to perform the general water heater service</t>
  </si>
  <si>
    <t>[ 11/12/2025 - Sathyaraj went and check all the systems and found that all are working within the range ]</t>
  </si>
  <si>
    <t>to complete the Service  - MC4 Connector issue</t>
  </si>
  <si>
    <t>[ 73583 70333 /  Mahesh ] / MC4 Connector Problem</t>
  </si>
  <si>
    <t>to complete the service [ Dinesh  / 7299461050 ]</t>
  </si>
  <si>
    <t>[ 13/12/2025 - Went Site Visit &amp; found that , the inverter's internal board is failure by Suresh ]  / [ 15/12/2025 - Complaint registered by Manivel ] / [ 17/12/2025 - Inverter dispatched to Kerala Service Centre by Suresh ] / [ 29/12/2025 - Inverter installed at site &amp; working Normal ]</t>
  </si>
  <si>
    <t>Mr Govindrajan / Ramaniyam</t>
  </si>
  <si>
    <t>to send Quote for Water heater tank replacement</t>
  </si>
  <si>
    <t>[ 72999 27450 / Karthik ] / [ 12/12/2025 -Quote sent to Karthik / Ramaniyam by Manivel ] - They don't want the water heater so asked to remove [ 03/02/2026 - Tank removed and shifted to shiroi by Sathyaraj ]</t>
  </si>
  <si>
    <t>to check the solar sys's earth</t>
  </si>
  <si>
    <t>[ 12/01/2026 - Sathyaraj went to site and found that Solar system's earth is connected with the existing system ]</t>
  </si>
  <si>
    <t>Sri Sayee School</t>
  </si>
  <si>
    <t>complete the Wi Fi dongle re installation</t>
  </si>
  <si>
    <t>[ 15/12/2025 -Wi Fi re Configuration Completed by Suresh ] / [ 16/12/2025 - Invoice sent via mail ] / -[ 12/01/2026 Payment Receivd ]</t>
  </si>
  <si>
    <t>4500/-</t>
  </si>
  <si>
    <t>P S Geetha</t>
  </si>
  <si>
    <t>to fix water heater , which has been removed from GRN Office</t>
  </si>
  <si>
    <t>[ Geetha -  98400 19380 - 20 NEHRU NAGAR 2ND STREET ADYAR CHENNAI, Sangam apartments ] / [ Water Heater installed at site and Payment received ]</t>
  </si>
  <si>
    <t>14750/-</t>
  </si>
  <si>
    <t>Marutham Rhythm</t>
  </si>
  <si>
    <t xml:space="preserve">to check the Service Quote &amp; re share </t>
  </si>
  <si>
    <t xml:space="preserve">[ 9884134886 , Kodambakkam ] - Quote Re Shared with them </t>
  </si>
  <si>
    <t>Chettinad Super Speciality Hospital</t>
  </si>
  <si>
    <t>[ 06/01/2026 - Panels removed and stored near the shed area by Sriram contractor 4MP ] / [ 05/02/2026 - Completed the re installation by Sriram Contractor 4 Labours ] / [18/02/2026 - Payment received ]</t>
  </si>
  <si>
    <t>26255/-</t>
  </si>
  <si>
    <t>Varsha &amp; Pradeep</t>
  </si>
  <si>
    <t>to done Water Heater Supply &amp; Installation</t>
  </si>
  <si>
    <t>[ 07/01/2026 - Water Heater delivered and installed at site ]  / [ 13/01/2026 - Invoice sent to them through mail ] / [ 27/01/2026 - Payment Received ]</t>
  </si>
  <si>
    <t>41418/-</t>
  </si>
  <si>
    <t>GVG Industries Private ltd</t>
  </si>
  <si>
    <t xml:space="preserve">to replace the fault generation meter </t>
  </si>
  <si>
    <t>[ 14/03/2026 - replacement meter sent to them via courier by Subashri ]</t>
  </si>
  <si>
    <t>0/-</t>
  </si>
  <si>
    <t>Navins Office</t>
  </si>
  <si>
    <t>To Complete the Paid AMC</t>
  </si>
  <si>
    <t>Yuvaraj  +918148866887 / 14th Jan 2026 - Paid AMC Completed</t>
  </si>
  <si>
    <t>to done Wi Fi Re configurations</t>
  </si>
  <si>
    <t>Mr Jeyaseelan / 6385144858</t>
  </si>
  <si>
    <t>Wi Fi re configurations completed</t>
  </si>
  <si>
    <t>to replace the MCB breaker at the ACDB</t>
  </si>
  <si>
    <t>[ 23/01/2026 - Anbarasan Went site and identified the issue ] / [ 27/01/2026 - Service Quote Sent to Suresh via mail by Manivel ] / [ 03/02/2026 - Breaker replaced by Anbarasan &amp; Mohan , the system is working normal ] / [ 26/02/2026 - Payment sent to Vinod via Gpay ]</t>
  </si>
  <si>
    <t>4543/-</t>
  </si>
  <si>
    <t>to complete Wi Fi Re configurations</t>
  </si>
  <si>
    <t>Wi Fi Re configuration done</t>
  </si>
  <si>
    <t>service for / off grid inverter not working</t>
  </si>
  <si>
    <t>[ 27/01/2026 - found that the breaker was dripped and rectified the same by Manikandan ] / [ 28/01/2026 - Again dripped AC breaker and rectified the same by Anbarasan &amp; Manikandan and found that the DC fuse burnt , the same has been replaced by Anbarasan on 29/01/2025 ]</t>
  </si>
  <si>
    <t xml:space="preserve">to complete the structure paint work </t>
  </si>
  <si>
    <t xml:space="preserve">[ 03/02/2026 - Structure Paint Work completed by Mr Lourduraj with one labour ] </t>
  </si>
  <si>
    <t>to check the export in the net meter</t>
  </si>
  <si>
    <t>[ 04/02/2026 - R Phase export is not working,Now the termination shifted to Y phase, Now the export units is recording ]</t>
  </si>
  <si>
    <t>Ramaniyam Saranagati</t>
  </si>
  <si>
    <t xml:space="preserve">to comple dc cable re route </t>
  </si>
  <si>
    <t>[ 11/02/2026 - Dc cable re route completed by Manikandan &amp; Mohan ]</t>
  </si>
  <si>
    <t xml:space="preserve">to complete structure painting </t>
  </si>
  <si>
    <t>[ 12/02/2026 - Structure Painting work completed by Lourduraj with one labour ]</t>
  </si>
  <si>
    <t>to check the hybrid system feasibility and give note</t>
  </si>
  <si>
    <t>[ 11/02/2026 - Went  Ganapathy ashrama and discussed the feasibility for hybrid system by Manivel &amp; Vivek ] /</t>
  </si>
  <si>
    <t xml:space="preserve">to check the export units </t>
  </si>
  <si>
    <t>[ 16/02/2026 - Phase changed in to y , Now the export reading is showing ]</t>
  </si>
  <si>
    <t>Life Style Param</t>
  </si>
  <si>
    <t xml:space="preserve">Service call / to check the all the systems </t>
  </si>
  <si>
    <t>[ Association Member 9094499900 , 9841473519 Maintenance Person ] / [ 98844 09101 - Gopal Damani / AMC Proposal sent to them on 10/03/2026 ]</t>
  </si>
  <si>
    <t xml:space="preserve">to check export power </t>
  </si>
  <si>
    <t>[ 9444081516 / 23/02/2026 - Solar Production is normal, due to high self consumption , there was a no export units, the same has been informed with association people ]</t>
  </si>
  <si>
    <t>Ramakrishna Math</t>
  </si>
  <si>
    <t>to check the generation</t>
  </si>
  <si>
    <t>[ 04/03/2026 - Cross checked the system performance , and the system is working within the operating limits ]</t>
  </si>
  <si>
    <t>Navin Sanctum</t>
  </si>
  <si>
    <t>to check the existing on grid system performance</t>
  </si>
  <si>
    <t>[ 88704 17273 / Vengadanathan / https://maps.app.goo.gl/Ef6wC8qutfT8bJUk6 ] / [ 09/03/2026 - general check up done by Manikandan and found that there was one string problem , the same has been updated to client and asked them change the breaker themselves./ payment received</t>
  </si>
  <si>
    <t>1500/-</t>
  </si>
  <si>
    <t xml:space="preserve">to complete the inverter fixining </t>
  </si>
  <si>
    <t>Inverter re fixing work done and the system is working within the operating limits.</t>
  </si>
  <si>
    <t>service call</t>
  </si>
  <si>
    <t>[ 9080341108 Selvam ] / Zebronics  Service call</t>
  </si>
  <si>
    <t xml:space="preserve">to done Wi Fi Re configurations </t>
  </si>
  <si>
    <t>Wi Fi re configuration done and checked the existing earth value of the solar systems.</t>
  </si>
  <si>
    <t>MSM Unit II, Phase I</t>
  </si>
  <si>
    <t xml:space="preserve">to replace the fault inverter </t>
  </si>
  <si>
    <t>[ 14/03/2026 - Replacement inverter received at gvg factory from Goodwe ]</t>
  </si>
  <si>
    <t>to complete the FREE AMC</t>
  </si>
  <si>
    <t>14th March 2026 -  Free AMC done by Manikandan &amp; Mohan</t>
  </si>
  <si>
    <t>Mr Ragavan Seapoint Apartment</t>
  </si>
  <si>
    <t xml:space="preserve">to complete the service </t>
  </si>
  <si>
    <t>18/03/2026 - Connector Problem and rectified the same / Mr Raghavan / 7358589519</t>
  </si>
  <si>
    <t>500/-</t>
  </si>
  <si>
    <t>to complete the structure alteration work</t>
  </si>
  <si>
    <t>[ 20/03/2026 - Panel &amp; Purlin dismantling work done by Mr Lourduraj with two labour ] , Service Amount Received</t>
  </si>
  <si>
    <t>23600/-</t>
  </si>
  <si>
    <t>GRN Ganpat</t>
  </si>
  <si>
    <t xml:space="preserve">to check the existing system working conditions </t>
  </si>
  <si>
    <t>The system is working within the operating limitts</t>
  </si>
  <si>
    <t>to done the panel dismantling &amp; re installation @Power House</t>
  </si>
  <si>
    <t>Solar Panel removal and re installation done at Power House by Mr Sriram Contractor , 27th April service invoice sent to them via mail, Yet to received Payment</t>
  </si>
  <si>
    <t>21830/-</t>
  </si>
  <si>
    <t>GRN Sri Mathuram Apartments</t>
  </si>
  <si>
    <t>to be done general check up</t>
  </si>
  <si>
    <t>Mobile N0 : 9500012418 / [ 27/04/2026 - General Check up done , System's MCB was tripped and rectified the same ] / [ 28/04/2026 - Service amount Received ]</t>
  </si>
  <si>
    <t>to Complete the FREE AMC</t>
  </si>
  <si>
    <t>Free AMC done by Mohan &amp; Labour</t>
  </si>
  <si>
    <t>AL Sekhar</t>
  </si>
  <si>
    <t>to visit general service</t>
  </si>
  <si>
    <t>free visit done</t>
  </si>
  <si>
    <t>to clean the panels and give demo</t>
  </si>
  <si>
    <t>Cleaning work done</t>
  </si>
  <si>
    <t>to give panel cleaning demo</t>
  </si>
  <si>
    <t>to complete the service</t>
  </si>
  <si>
    <t>22nd May - Service call closed, mc4 connector poblem</t>
  </si>
  <si>
    <t>Mr Praveen</t>
  </si>
  <si>
    <t>to replace the dcdb</t>
  </si>
  <si>
    <t>30th May - Went site and identified that DCDB fault / 2nd June replaced the new DCDB and completed the terminations</t>
  </si>
  <si>
    <t>6292/-</t>
  </si>
  <si>
    <t>Project</t>
  </si>
  <si>
    <t>Brand</t>
  </si>
  <si>
    <t>Username</t>
  </si>
  <si>
    <t>Password</t>
  </si>
  <si>
    <t>Monitoring Link</t>
  </si>
  <si>
    <t>Created</t>
  </si>
  <si>
    <t>Actions</t>
  </si>
  <si>
    <t>Sungrow</t>
  </si>
  <si>
    <t>venkatms@rediffmail.com</t>
  </si>
  <si>
    <t>Solar123</t>
  </si>
  <si>
    <t>https://www.isolarcloud.com.hk/#/login</t>
  </si>
  <si>
    <t>Mr Ravi / Tiruvannamalai</t>
  </si>
  <si>
    <t>Deye</t>
  </si>
  <si>
    <r>
      <rPr>
        <rFont val="Tahoma"/>
        <color theme="1"/>
        <sz val="12.0"/>
        <u/>
      </rPr>
      <t>raguramanradha1957@gmail.com</t>
    </r>
  </si>
  <si>
    <t>Solar12345</t>
  </si>
  <si>
    <t>https://home.solarmanpv.com/login</t>
  </si>
  <si>
    <t>Mr Sukumaran</t>
  </si>
  <si>
    <r>
      <rPr>
        <rFont val="Tahoma"/>
        <color theme="1"/>
        <sz val="12.0"/>
        <u/>
      </rPr>
      <t>divyakalu@gmail.com</t>
    </r>
  </si>
  <si>
    <r>
      <rPr>
        <rFont val="Tahoma"/>
        <color theme="1"/>
        <sz val="12.0"/>
        <u/>
      </rPr>
      <t>anand.Rangachari@gmail.com</t>
    </r>
  </si>
  <si>
    <t>vedika!123</t>
  </si>
  <si>
    <r>
      <rPr>
        <rFont val="Tahoma"/>
        <color theme="1"/>
        <sz val="12.0"/>
        <u/>
      </rPr>
      <t>krithiha.arjun@gmail.com</t>
    </r>
  </si>
  <si>
    <t>assikadusiva@gmail.com</t>
  </si>
  <si>
    <t>Havells</t>
  </si>
  <si>
    <r>
      <rPr>
        <rFont val="Tahoma"/>
        <color theme="1"/>
        <sz val="12.0"/>
        <u/>
      </rPr>
      <t>swatantrajaiswal30@gmail.com</t>
    </r>
  </si>
  <si>
    <r>
      <rPr>
        <rFont val="Tahoma"/>
        <color theme="1"/>
        <sz val="12.0"/>
        <u/>
      </rPr>
      <t>ramesh.babu@hotmail.com</t>
    </r>
  </si>
  <si>
    <r>
      <rPr>
        <rFont val="Tahoma"/>
        <color theme="1"/>
        <sz val="12.0"/>
        <u/>
      </rPr>
      <t>ushasankaran1961@gmail.com</t>
    </r>
  </si>
  <si>
    <t>Solar123#</t>
  </si>
  <si>
    <t>Shiroi Energy</t>
  </si>
  <si>
    <r>
      <rPr>
        <rFont val="Tahoma"/>
        <color theme="1"/>
        <sz val="12.0"/>
        <u/>
      </rPr>
      <t>manivel@shiroienergy.com</t>
    </r>
  </si>
  <si>
    <t>shiro@2025</t>
  </si>
  <si>
    <t>Growatt</t>
  </si>
  <si>
    <t>EEVUWE001</t>
  </si>
  <si>
    <t>https://server.growatt.com/login</t>
  </si>
  <si>
    <r>
      <rPr>
        <rFont val="Tahoma"/>
        <color theme="1"/>
        <sz val="12.0"/>
        <u/>
      </rPr>
      <t>bluetbmvs@gmail.com</t>
    </r>
  </si>
  <si>
    <t>MSM Unit II , Phase II / 400 KWp</t>
  </si>
  <si>
    <r>
      <rPr>
        <rFont val="Tahoma"/>
        <color theme="1"/>
        <sz val="12.0"/>
        <u/>
      </rPr>
      <t>mrinalstores_msm@yahoo.com</t>
    </r>
  </si>
  <si>
    <t>Mrinal@123</t>
  </si>
  <si>
    <r>
      <rPr>
        <rFont val="Tahoma"/>
        <color theme="1"/>
        <sz val="12.0"/>
        <u/>
      </rPr>
      <t>nancysweetline@gmail.com</t>
    </r>
  </si>
  <si>
    <t>Solar@123</t>
  </si>
  <si>
    <t>Dr Ramesh / 5 kWp</t>
  </si>
  <si>
    <r>
      <rPr>
        <rFont val="Tahoma"/>
        <color theme="1"/>
        <sz val="12.0"/>
        <u/>
      </rPr>
      <t>dr.rramesh@gmail.com</t>
    </r>
  </si>
  <si>
    <r>
      <rPr>
        <rFont val="Tahoma"/>
        <color theme="1"/>
        <sz val="12.0"/>
        <u/>
      </rPr>
      <t>manivel@shiroienergy.com</t>
    </r>
  </si>
  <si>
    <t>Deye@30#</t>
  </si>
  <si>
    <r>
      <rPr>
        <rFont val="Tahoma"/>
        <color theme="1"/>
        <sz val="12.0"/>
        <u/>
      </rPr>
      <t>anandananitha@gmail.com</t>
    </r>
  </si>
  <si>
    <t>Aarthi@1703</t>
  </si>
  <si>
    <r>
      <rPr>
        <rFont val="Tahoma"/>
        <color theme="1"/>
        <sz val="12.0"/>
        <u/>
      </rPr>
      <t>sdevadoss1891@gmail.com</t>
    </r>
  </si>
  <si>
    <t>Mr Prabakaran / 3.3 KWp</t>
  </si>
  <si>
    <r>
      <rPr>
        <rFont val="Tahoma"/>
        <color theme="1"/>
        <sz val="12.0"/>
        <u/>
      </rPr>
      <t>spn151202@hotmail.com</t>
    </r>
  </si>
  <si>
    <t>Mr Chandraprakash</t>
  </si>
  <si>
    <t>archandraprakash05@gmail.com</t>
  </si>
  <si>
    <t>Goodwe</t>
  </si>
  <si>
    <r>
      <rPr>
        <rFont val="Tahoma"/>
        <color theme="1"/>
        <sz val="12.0"/>
        <u/>
      </rPr>
      <t>maintenance@enexioindia.com</t>
    </r>
  </si>
  <si>
    <r>
      <rPr>
        <rFont val="Tahoma"/>
        <color theme="1"/>
        <sz val="12.0"/>
        <u/>
      </rPr>
      <t>gsivaelango@yahoo.co.in</t>
    </r>
  </si>
  <si>
    <t>Hindu School Payalwar street</t>
  </si>
  <si>
    <r>
      <rPr>
        <rFont val="Tahoma"/>
        <color theme="1"/>
        <sz val="12.0"/>
        <u/>
      </rPr>
      <t>hssstrip@gmail.com</t>
    </r>
  </si>
  <si>
    <r>
      <rPr>
        <rFont val="Tahoma"/>
        <color theme="1"/>
        <sz val="12.0"/>
        <u/>
      </rPr>
      <t>krithiha.arjun@gmail.com</t>
    </r>
  </si>
  <si>
    <r>
      <rPr>
        <rFont val="Tahoma"/>
        <color theme="1"/>
        <sz val="12.0"/>
        <u/>
      </rPr>
      <t>sondavid@yahoo.com</t>
    </r>
  </si>
  <si>
    <t>Davidson123</t>
  </si>
  <si>
    <t>Block - C</t>
  </si>
  <si>
    <t>Fl0ur1sh@2026</t>
  </si>
  <si>
    <r>
      <rPr>
        <rFont val="Tahoma"/>
        <color theme="1"/>
        <sz val="12.0"/>
        <u/>
      </rPr>
      <t>sarav_cms@yahoo.co.in</t>
    </r>
  </si>
  <si>
    <t>Solar12</t>
  </si>
  <si>
    <r>
      <rPr>
        <rFont val="Tahoma"/>
        <color theme="1"/>
        <sz val="12.0"/>
        <u/>
      </rPr>
      <t>anand.Rangachari@gmail.com</t>
    </r>
  </si>
  <si>
    <t>Vedika!123</t>
  </si>
  <si>
    <r>
      <rPr>
        <rFont val="Tahoma"/>
        <color theme="1"/>
        <sz val="12.0"/>
        <u/>
      </rPr>
      <t>sai.chandru2017@gmail.com</t>
    </r>
  </si>
  <si>
    <t>Saisolar123</t>
  </si>
  <si>
    <t>kasinathan</t>
  </si>
  <si>
    <t>srisayee</t>
  </si>
  <si>
    <r>
      <rPr>
        <rFont val="Tahoma"/>
        <color theme="1"/>
        <sz val="12.0"/>
        <u/>
      </rPr>
      <t>rjkr123@gmail.com</t>
    </r>
  </si>
  <si>
    <r>
      <rPr>
        <rFont val="Tahoma"/>
        <color theme="1"/>
        <sz val="12.0"/>
        <u/>
      </rPr>
      <t>nitinkadambari@yahoo.co.in</t>
    </r>
  </si>
  <si>
    <t>Mr Ashok</t>
  </si>
  <si>
    <t>Fronious</t>
  </si>
  <si>
    <t>panchapakesanashok1@gmail.com</t>
  </si>
  <si>
    <t>Ashokp@Solar123 / Solar123</t>
  </si>
  <si>
    <r>
      <rPr>
        <rFont val="Tahoma"/>
        <color theme="1"/>
        <sz val="12.0"/>
        <u/>
      </rPr>
      <t>vsl_boss@yahoo.co.in</t>
    </r>
  </si>
  <si>
    <r>
      <rPr>
        <rFont val="Tahoma"/>
        <color theme="1"/>
        <sz val="12.0"/>
        <u/>
      </rPr>
      <t>jneumarin@gmail.com</t>
    </r>
  </si>
  <si>
    <r>
      <rPr>
        <rFont val="Tahoma"/>
        <color theme="1"/>
        <sz val="12.0"/>
        <u/>
      </rPr>
      <t>m.arihantnahar@gmail.com</t>
    </r>
  </si>
  <si>
    <r>
      <rPr>
        <rFont val="Tahoma"/>
        <color theme="1"/>
        <sz val="12.0"/>
        <u/>
      </rPr>
      <t>hariram1700@ymail.com</t>
    </r>
  </si>
  <si>
    <t>Oriental Hydraulics Private Limited</t>
  </si>
  <si>
    <r>
      <rPr>
        <rFont val="Tahoma"/>
        <color theme="1"/>
        <sz val="12.0"/>
        <u/>
      </rPr>
      <t>mail2@shiori.com</t>
    </r>
  </si>
  <si>
    <t>Hindu School Adyar</t>
  </si>
  <si>
    <t>Fimer</t>
  </si>
  <si>
    <t>Hinduschool</t>
  </si>
  <si>
    <t>https://www.auroravision.net/ums/v1/loginPage?redirectUrl=https:%2F%2Fwww.auroravision.net%2Fhome%2F</t>
  </si>
  <si>
    <r>
      <rPr>
        <rFont val="Tahoma"/>
        <color theme="1"/>
        <sz val="12.0"/>
        <u/>
      </rPr>
      <t>jkarthik.nr@gmail.com</t>
    </r>
  </si>
  <si>
    <t>M/s Latha Ganesh</t>
  </si>
  <si>
    <r>
      <rPr>
        <rFont val="Tahoma"/>
        <color theme="1"/>
        <sz val="12.0"/>
        <u/>
      </rPr>
      <t>latsgana@gmail.com</t>
    </r>
  </si>
  <si>
    <t>Ceebros Boulevard</t>
  </si>
  <si>
    <t>Cbfoasolar</t>
  </si>
  <si>
    <t>Solver Minds / 8 KWp</t>
  </si>
  <si>
    <r>
      <rPr>
        <rFont val="Tahoma"/>
        <color theme="1"/>
        <sz val="12.0"/>
        <u/>
      </rPr>
      <t>infraadmin@solverminds.com</t>
    </r>
  </si>
  <si>
    <t>Solver123</t>
  </si>
  <si>
    <t>Solver Minds / 81 KWp</t>
  </si>
  <si>
    <t>Solverminds</t>
  </si>
  <si>
    <t>GVG Industries Private Ltd</t>
  </si>
  <si>
    <r>
      <rPr>
        <rFont val="Tahoma"/>
        <color theme="1"/>
        <sz val="12.0"/>
        <u/>
      </rPr>
      <t>Gvgindustries@gmail.com</t>
    </r>
  </si>
  <si>
    <t>Admin@123</t>
  </si>
  <si>
    <r>
      <rPr>
        <rFont val="Tahoma"/>
        <color theme="1"/>
        <sz val="12.0"/>
        <u/>
      </rPr>
      <t>ganasa@hotmail.com</t>
    </r>
  </si>
  <si>
    <r>
      <rPr>
        <rFont val="Tahoma"/>
        <color theme="1"/>
        <sz val="12.0"/>
        <u/>
      </rPr>
      <t>kdoss00@yahoo.com</t>
    </r>
  </si>
  <si>
    <r>
      <rPr>
        <rFont val="Tahoma"/>
        <color theme="1"/>
        <sz val="12.0"/>
        <u/>
      </rPr>
      <t>vupputursairam@gmail.com</t>
    </r>
  </si>
  <si>
    <t>Alusolar</t>
  </si>
  <si>
    <t>Hamra@466</t>
  </si>
  <si>
    <t>https://pv.polycabmonitoring.com/dist/#/login/index</t>
  </si>
  <si>
    <r>
      <rPr>
        <rFont val="Tahoma"/>
        <color theme="1"/>
        <sz val="12.0"/>
        <u/>
      </rPr>
      <t>sankar_hema@rediffmail.com</t>
    </r>
  </si>
  <si>
    <r>
      <rPr>
        <rFont val="Tahoma"/>
        <color theme="1"/>
        <sz val="12.0"/>
        <u/>
      </rPr>
      <t>indraayyar10@gmail.com</t>
    </r>
  </si>
  <si>
    <r>
      <rPr>
        <rFont val="Tahoma"/>
        <color theme="1"/>
        <sz val="12.0"/>
        <u/>
      </rPr>
      <t>Sridharrajan1989@gmail.com</t>
    </r>
  </si>
  <si>
    <t>Mr Deepka Raj</t>
  </si>
  <si>
    <t>Deepakraj</t>
  </si>
  <si>
    <t>Balajissolar</t>
  </si>
  <si>
    <t>Pradheepsolar</t>
  </si>
  <si>
    <t>spshanmu@gmail.com</t>
  </si>
  <si>
    <t>Jegan moorthy</t>
  </si>
  <si>
    <t xml:space="preserve">Solar123 </t>
  </si>
  <si>
    <t>kmurali020@gmail.com</t>
  </si>
  <si>
    <t>CHETTINADRHC</t>
  </si>
  <si>
    <t>Flin Energy</t>
  </si>
  <si>
    <t>Muthu</t>
  </si>
  <si>
    <t>http://power-datacenter.com/cmc/login_system.html</t>
  </si>
  <si>
    <t>A/A2 - Mrs Nithiya Ramachandran</t>
  </si>
  <si>
    <t>Nithyaram</t>
  </si>
  <si>
    <t>A/A3 - Mrs Asumitha</t>
  </si>
  <si>
    <t>Ashmitha</t>
  </si>
  <si>
    <t>A/A4 - Mr Venkatramani</t>
  </si>
  <si>
    <t>Venkatramani</t>
  </si>
  <si>
    <t>A/A5 &amp; A/A6 - Mr Ravi</t>
  </si>
  <si>
    <t>Ravianju</t>
  </si>
  <si>
    <t>B/A1 - Mrs Jayashree</t>
  </si>
  <si>
    <t>Jayashri</t>
  </si>
  <si>
    <t>B/A2 - Mr Ramachandran</t>
  </si>
  <si>
    <t>Ckram99</t>
  </si>
  <si>
    <t>B/A3 - Mr Nitin</t>
  </si>
  <si>
    <t>NitinkumarB3</t>
  </si>
  <si>
    <t>B/A4 - Mr Manoj</t>
  </si>
  <si>
    <t>BManoj</t>
  </si>
  <si>
    <t>B/A5 - Mr Gowtham</t>
  </si>
  <si>
    <t>Gautham</t>
  </si>
  <si>
    <t>B/A6 - Mr Unnikrishnan</t>
  </si>
  <si>
    <t>Unnivalliyil</t>
  </si>
  <si>
    <t>C/A1 - Mr Jayaraman</t>
  </si>
  <si>
    <t>JJayabarthi</t>
  </si>
  <si>
    <t>C/A3 - Mrs Shree Latha</t>
  </si>
  <si>
    <t>C/A5 - Mrs Geeth Priya</t>
  </si>
  <si>
    <t>Geethapriya</t>
  </si>
  <si>
    <t>D/A1 - Mr Sudharsan</t>
  </si>
  <si>
    <t>Sutharsan</t>
  </si>
  <si>
    <t>D/A3 -</t>
  </si>
  <si>
    <t>DA3</t>
  </si>
  <si>
    <t>D/A4 - Mr Shajee</t>
  </si>
  <si>
    <t>Phshajee</t>
  </si>
  <si>
    <t>E/A1 - Mr Vanagiri</t>
  </si>
  <si>
    <t>EA1vanagiri</t>
  </si>
  <si>
    <t>E/A2 - Mr Sekar</t>
  </si>
  <si>
    <t>Shekar</t>
  </si>
  <si>
    <t>TN37LP8383</t>
  </si>
  <si>
    <t>E/A3 - Mr Ramachandran</t>
  </si>
  <si>
    <t>Ramachandrank</t>
  </si>
  <si>
    <t>E/A4 - Mr Sundar Rajan</t>
  </si>
  <si>
    <t>Sundarrajan</t>
  </si>
  <si>
    <t>E/A5 - Mrs Rajalakshmi</t>
  </si>
  <si>
    <t>Rajalakshmi</t>
  </si>
  <si>
    <t>E/A6 - Mrs Gomathi</t>
  </si>
  <si>
    <t>EA6Gomathi</t>
  </si>
  <si>
    <t>F/A1 - Mrs Sripriya</t>
  </si>
  <si>
    <t>kanmani</t>
  </si>
  <si>
    <t>F/A2 - Mr Meenakshi Sundaram</t>
  </si>
  <si>
    <t>Seyon</t>
  </si>
  <si>
    <t>F/A3 - Mrs Anuradha Ganeshan</t>
  </si>
  <si>
    <t>Anuradhaganesh</t>
  </si>
  <si>
    <t>F/A6 - Mrs Vidiya</t>
  </si>
  <si>
    <t>Aksmaniyan</t>
  </si>
  <si>
    <t>F/A7 - Mr Mohan</t>
  </si>
  <si>
    <t>kMohan</t>
  </si>
  <si>
    <t>F/A8 - Mrs Sridevi Ashokan</t>
  </si>
  <si>
    <t>Sridevi ashok</t>
  </si>
  <si>
    <t>F/A9 - Mr Selvarajan</t>
  </si>
  <si>
    <t>Selvarajan</t>
  </si>
  <si>
    <t>G/A1 - Mr Ramasamy Annamalai</t>
  </si>
  <si>
    <t>GA1</t>
  </si>
  <si>
    <t>G/A2 - Mr Arun</t>
  </si>
  <si>
    <t>Arunnithya</t>
  </si>
  <si>
    <t>H/A2 - Mr Bhadri</t>
  </si>
  <si>
    <t>HA2</t>
  </si>
  <si>
    <t>H/A3 - Mr Ramasamy</t>
  </si>
  <si>
    <t>Ramasamy</t>
  </si>
  <si>
    <t>H/A6 - Mr Durai Murugan</t>
  </si>
  <si>
    <t>Nduraimurugan</t>
  </si>
  <si>
    <t>H/A8 - Mr Selvakumar</t>
  </si>
  <si>
    <t>Sselvakumar</t>
  </si>
  <si>
    <t>H/A9 - Mrs Latha Ragu</t>
  </si>
  <si>
    <t>Raghuvamsham</t>
  </si>
  <si>
    <t>H/A10 - Mr Baskaran</t>
  </si>
  <si>
    <t>Dhanamuthu</t>
  </si>
  <si>
    <t>H/A11 - Mr Kumar</t>
  </si>
  <si>
    <t>K.kumar</t>
  </si>
  <si>
    <t>J/A1 - Mr Veerasekar</t>
  </si>
  <si>
    <t>Veerasekar</t>
  </si>
  <si>
    <t>J/A2 - Mr Ashok</t>
  </si>
  <si>
    <t>Ashokja2</t>
  </si>
  <si>
    <t>J/A3 - Mrs Nivetha</t>
  </si>
  <si>
    <t>Nivedhasivakumar</t>
  </si>
  <si>
    <t>J/A4 - Mr Nagasubrish</t>
  </si>
  <si>
    <t>Nagasabarish</t>
  </si>
  <si>
    <t>J/A5 - Mr Naresh</t>
  </si>
  <si>
    <t>Nareshjoghee</t>
  </si>
  <si>
    <t>J/A6 -</t>
  </si>
  <si>
    <t>Geethabalu</t>
  </si>
  <si>
    <t>J/A7 -</t>
  </si>
  <si>
    <t>SPrabhakar</t>
  </si>
  <si>
    <t>J/A8 - Mr Sudha Srivilasan</t>
  </si>
  <si>
    <t>Sudhasri</t>
  </si>
  <si>
    <t>J/A9 - Mr Suresh</t>
  </si>
  <si>
    <t>Smitra</t>
  </si>
  <si>
    <t>A L Sekhar</t>
  </si>
  <si>
    <t>rajanbabut</t>
  </si>
  <si>
    <t>balasfinearts@gmail.com</t>
  </si>
  <si>
    <t>Jayanthi.raja1964@gmail.com</t>
  </si>
  <si>
    <t>vanai Panache</t>
  </si>
  <si>
    <t>vinaismav@gmail.com</t>
  </si>
  <si>
    <t>Varun - Besant nagar ( 4.3kw )</t>
  </si>
  <si>
    <t>varunp@gmail.com</t>
  </si>
  <si>
    <t>AM RAJA - Besant nagar ( 3.2 KW )</t>
  </si>
  <si>
    <t>Amraja</t>
  </si>
  <si>
    <t>Shridhar - Tambaram ( 6 kw )</t>
  </si>
  <si>
    <t>shridhar1953@gmail.com</t>
  </si>
  <si>
    <t>Chemfab Alkalis SS_110 KWp</t>
  </si>
  <si>
    <t>Chemfabalkalis</t>
  </si>
  <si>
    <t>Chemfab Alkalis SS_55 KWp</t>
  </si>
  <si>
    <t>Shiroienergy</t>
  </si>
  <si>
    <t>Chemfab Alkalis SS_8.7 KWp</t>
  </si>
  <si>
    <t>Chemfab Alkalis DP_11.5 KWp</t>
  </si>
  <si>
    <t>Chemfab Alkalis SP_11.5 KWp</t>
  </si>
  <si>
    <t>Chemfab Alkalis RO_23 KWp</t>
  </si>
  <si>
    <t>Schangalaya_25 KWp</t>
  </si>
  <si>
    <t>Schakaralaya_50 KWp</t>
  </si>
  <si>
    <t>Mountmeru _108KWp</t>
  </si>
  <si>
    <t>Mountmeru_Solar</t>
  </si>
  <si>
    <t>Mountmeru _103 KWp</t>
  </si>
  <si>
    <t>Harsha_2 KWp</t>
  </si>
  <si>
    <t>harsha123</t>
  </si>
  <si>
    <t>Baskar_2.5 KWp</t>
  </si>
  <si>
    <t>Bossshyam</t>
  </si>
  <si>
    <t>Solar2019@</t>
  </si>
  <si>
    <t>Ashok_4 KWp</t>
  </si>
  <si>
    <t>Fronius solar web</t>
  </si>
  <si>
    <t>mail@shiroienergy.com</t>
  </si>
  <si>
    <t>Shiroienergy@04</t>
  </si>
  <si>
    <t>Ashok_2.5 KWp</t>
  </si>
  <si>
    <t>shravan@shiroienergy.com</t>
  </si>
  <si>
    <t>Mugundamani_3 KWp</t>
  </si>
  <si>
    <t>GRN Poes Garden_4 KWp</t>
  </si>
  <si>
    <t>Siddharth_1 KWp</t>
  </si>
  <si>
    <t>Siddharth</t>
  </si>
  <si>
    <t>Sriram_4 KWp</t>
  </si>
  <si>
    <t>Sriramsv</t>
  </si>
  <si>
    <t>Sri Sayee School_16 KWp</t>
  </si>
  <si>
    <t>vivekananda</t>
  </si>
  <si>
    <t>Sri Sayee School_1 KWp</t>
  </si>
  <si>
    <t>SSVV</t>
  </si>
  <si>
    <t>ssvv2019</t>
  </si>
  <si>
    <t>Dhayanada School_7.8 KWp</t>
  </si>
  <si>
    <t>Dayananda</t>
  </si>
  <si>
    <t>Chemfab sricity _110 KWp</t>
  </si>
  <si>
    <t>Chemfab sricity _115 KWp</t>
  </si>
  <si>
    <t>Edison School _48 KWp</t>
  </si>
  <si>
    <t>Edisonschool</t>
  </si>
  <si>
    <t>Generator@123</t>
  </si>
  <si>
    <t>Madurai SLCS College_88 KWp</t>
  </si>
  <si>
    <t>slcscollege</t>
  </si>
  <si>
    <t>Chemin Enviro System_45KWp</t>
  </si>
  <si>
    <t>CESZLDS45KW</t>
  </si>
  <si>
    <t>Ces@7788</t>
  </si>
  <si>
    <t>Chemin Enviro System_2KWp</t>
  </si>
  <si>
    <t>CESZLDS2KW</t>
  </si>
  <si>
    <t>GGN School _15 KWp</t>
  </si>
  <si>
    <t>Ggnschool</t>
  </si>
  <si>
    <t>Hindu School_50 KWp</t>
  </si>
  <si>
    <t>Solverminds_81 KWp</t>
  </si>
  <si>
    <t>Solverminds_8 KWp</t>
  </si>
  <si>
    <t>Goodwee</t>
  </si>
  <si>
    <t>infraadmin@solverminds.com</t>
  </si>
  <si>
    <t>RKM1_20 KWp</t>
  </si>
  <si>
    <t>manivel@shiroienergy.com</t>
  </si>
  <si>
    <t>RKM2_20 KWp</t>
  </si>
  <si>
    <t>RKM3_5 KWp</t>
  </si>
  <si>
    <t xml:space="preserve"> </t>
  </si>
  <si>
    <t>GVN_Hospital_60KWp</t>
  </si>
  <si>
    <t>Gvnhospital</t>
  </si>
  <si>
    <t>Mrinal_mills_507Kwp_Inverter_1(125Kwp)</t>
  </si>
  <si>
    <t>mrinalstores_msm@yahoo.com</t>
  </si>
  <si>
    <t>Mrinal_mills_507Kwp_Inverter_2(125Kwp)</t>
  </si>
  <si>
    <t>Mrinal_mills_507Kwp_Inverter_3(125Kwp)</t>
  </si>
  <si>
    <t>Mrinal_mills_507Kwp_Inverter_4(132Kwp)</t>
  </si>
  <si>
    <t>RWD Lemongras_20Kwp</t>
  </si>
  <si>
    <t>Maintenance.lemongraz@gmail.com</t>
  </si>
  <si>
    <t>Goodwe2018</t>
  </si>
  <si>
    <t>Soori Besant nagar_5Kwp</t>
  </si>
  <si>
    <t>Admin123</t>
  </si>
  <si>
    <t>Chemittiya_Palakad_5Kwp</t>
  </si>
  <si>
    <t>chemittiya</t>
  </si>
  <si>
    <t>Kumaraguru_5kw</t>
  </si>
  <si>
    <t>Kumarguru</t>
  </si>
  <si>
    <t>admin123</t>
  </si>
  <si>
    <t>Chandru_5kw</t>
  </si>
  <si>
    <t>Chandru</t>
  </si>
  <si>
    <t>Metal forms-SPK110Kw-Inv-1(165Kw)</t>
  </si>
  <si>
    <t>Mail2@shiroienergy.com</t>
  </si>
  <si>
    <t>Metal forms-SPK55Kw-Inv-2(165Kw)</t>
  </si>
  <si>
    <t>Metal forms-Redhills-110Kw-Inv-1(330Kw)</t>
  </si>
  <si>
    <t>mail2@shiori.com</t>
  </si>
  <si>
    <t>Metal forms-Redhills-110Kw-Inv-2(330Kw)</t>
  </si>
  <si>
    <t>Metal forms-Redhills-110Kw-Inv-3(330Kw)</t>
  </si>
  <si>
    <t>SVA syntex pvt.ltd-126.5Kw-Inv-1(253Kw)</t>
  </si>
  <si>
    <t>svafactory@gmail.com</t>
  </si>
  <si>
    <t>SVA syntex pvt.ltd-126.5Kw-Inv-2(253Kw</t>
  </si>
  <si>
    <t>GVG Industries pvt.ltd-123Kw-Inv-1(370Kw)</t>
  </si>
  <si>
    <t>gvgindustries@gmail.com</t>
  </si>
  <si>
    <t>GVG Industries pvt.ltd-123Kw-Inv-2(370Kw)</t>
  </si>
  <si>
    <t>GVG Industries pvt.ltd-123Kw-Inv-3(370Kw)</t>
  </si>
  <si>
    <t>SVPB Spinners pvt.ltd-123.2Kw-Inv-1(248Kw)</t>
  </si>
  <si>
    <t>SVPB Spinners pvt.ltd-125.4Kw-Inv-2(248Kw)</t>
  </si>
  <si>
    <t>tech@srikrishnasweets.net</t>
  </si>
  <si>
    <t>https://www.semsportal.com/home/login</t>
  </si>
  <si>
    <t>Premier Tiruvanandapuram-27KW</t>
  </si>
  <si>
    <t>accounts@premieroffice.in</t>
  </si>
  <si>
    <t>Shankar narayanan-Plaza-5Kw</t>
  </si>
  <si>
    <t>gtshankar@gmail.com</t>
  </si>
  <si>
    <t>Pass@1234</t>
  </si>
  <si>
    <t>RKM-17Kw-(32KW)-Inv-1</t>
  </si>
  <si>
    <t>RKMmylapore</t>
  </si>
  <si>
    <t>RKM-15Kw-(32KW)-Inv-2</t>
  </si>
  <si>
    <t>Nebu Olympia Panache (8KW)</t>
  </si>
  <si>
    <t>achayan@gmail.com</t>
  </si>
  <si>
    <t>neenu555</t>
  </si>
  <si>
    <t>Karthick ECR (9.6KW)</t>
  </si>
  <si>
    <t>chrome6boy@gmail.com</t>
  </si>
  <si>
    <t>Suresh Panache (5KW)</t>
  </si>
  <si>
    <t>ssuresh2480@gmail.com</t>
  </si>
  <si>
    <t>Praveen (4KW)</t>
  </si>
  <si>
    <t>prajugops@gmail.com</t>
  </si>
  <si>
    <t>Praveen (2KW)</t>
  </si>
  <si>
    <t>Ambatore Rotary Hospital (50KW)</t>
  </si>
  <si>
    <t>arhsolar</t>
  </si>
  <si>
    <t>Lavanya Shankar (5 KW)</t>
  </si>
  <si>
    <t>Shiroi Energy LLP</t>
  </si>
  <si>
    <t>vigneshsambasivam46@gmail.com</t>
  </si>
  <si>
    <t>Date</t>
  </si>
  <si>
    <t>Stage</t>
  </si>
  <si>
    <t>Done By</t>
  </si>
  <si>
    <t>Description</t>
  </si>
  <si>
    <t>SE Manpower</t>
  </si>
  <si>
    <t>Out Source Manpower</t>
  </si>
  <si>
    <t>Contractor Manpower</t>
  </si>
  <si>
    <t>Site Visit</t>
  </si>
  <si>
    <t>Discussed with them, they have asked to finish the wiring work at site by 15th June</t>
  </si>
  <si>
    <t>Site Survey</t>
  </si>
  <si>
    <t>Electrical materials delivered to site</t>
  </si>
  <si>
    <t>Site Visit done and discussed with project manager about delivery status and structure , design finalization</t>
  </si>
  <si>
    <t>Installation</t>
  </si>
  <si>
    <t>Manikandan &amp; Manikandan A &amp; Mohan</t>
  </si>
  <si>
    <t>Earth Pit Delivered to site and installed the same</t>
  </si>
  <si>
    <t>Earth Pit Excavation done for two numbers in depth of 2 meter</t>
  </si>
  <si>
    <t>Commissioning</t>
  </si>
  <si>
    <t>System commissioning has been done</t>
  </si>
  <si>
    <t>Service</t>
  </si>
  <si>
    <t>Manivel &amp; Anbarasan</t>
  </si>
  <si>
    <t>Site Visit done to check the existing system termination points</t>
  </si>
  <si>
    <t>Procurement</t>
  </si>
  <si>
    <t>Bill of items created and shared with procurement team</t>
  </si>
  <si>
    <t>Bill of Item created and shared with procuremnet team</t>
  </si>
  <si>
    <t>Site Visit done and discussed routing, bill of items</t>
  </si>
  <si>
    <t>Received Quote for Structure from green field and order placed for the same</t>
  </si>
  <si>
    <t>8th May 2026 - Drawing Approval received</t>
  </si>
  <si>
    <t>11th May 2026 - Covering letter for inspection sent to client to get signature</t>
  </si>
  <si>
    <t>15th May 2026 - Received Signed letter from Shoba Silks</t>
  </si>
  <si>
    <t>Follow Ups</t>
  </si>
  <si>
    <t>Soke with dhanalakshi about CEIG Inspection at Shoba Silks, he confirmed that will happen on 10th 2 PM</t>
  </si>
  <si>
    <t>Structure order placed with green field / GI low Raise</t>
  </si>
  <si>
    <t>Net Meter installed at site and system commissioning has been done</t>
  </si>
  <si>
    <t>Yet to complete the Aggregator unit configurations</t>
  </si>
  <si>
    <t>Structure Materials delivered to site  and unloaded at store room by Sriram Contractor</t>
  </si>
  <si>
    <t>Design</t>
  </si>
  <si>
    <t>Design sent to them via Wats App to get confirmation</t>
  </si>
  <si>
    <t>Revised design sent to them</t>
  </si>
  <si>
    <t>Got design confirmation</t>
  </si>
  <si>
    <t>Structure order placed with Sriram Contractor</t>
  </si>
  <si>
    <t>Mohankumar</t>
  </si>
  <si>
    <t>58 Nos / Vikram 620 Wp Solar Panels delivered to site and unloaded by Sriram contractor, Shifted to 5th floor, structure materials shifted to terrace from  store room.</t>
  </si>
  <si>
    <t>Follow up with MRT AD to complete the Net Meter installation &amp; Subashri Engineering to complete the aggregator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</si>
</sst>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 h:mm:ss"/>
    <numFmt numFmtId="166" formatCode="mmmm&quot; &quot;d&quot;, &quot;yyyy"/>
    <numFmt numFmtId="167" formatCode="m/d/yyyy"/>
    <numFmt numFmtId="168" formatCode="[$₹]#,##0.00"/>
    <numFmt numFmtId="169" formatCode="[$₹]#,##0"/>
    <numFmt numFmtId="170" formatCode="yyyy-mm-dd"/>
    <numFmt numFmtId="171" formatCode="dmyy"/>
  </numFmts>
  <fonts count="34">
    <font>
      <sz val="10.0"/>
      <color rgb="FF000000"/>
      <name val="Arial"/>
      <scheme val="minor"/>
    </font>
    <font>
      <b/>
      <sz val="11.0"/>
      <color theme="1"/>
      <name val="Open Sans"/>
    </font>
    <font>
      <sz val="11.0"/>
      <color theme="1"/>
      <name val="Open Sans"/>
    </font>
    <font>
      <sz val="11.0"/>
      <color rgb="FF70AD47"/>
      <name val="Open Sans"/>
    </font>
    <font>
      <sz val="11.0"/>
      <color rgb="FF0000FF"/>
      <name val="Open Sans"/>
    </font>
    <font>
      <sz val="11.0"/>
      <color rgb="FF305496"/>
      <name val="Open Sans"/>
    </font>
    <font>
      <u/>
      <sz val="11.0"/>
      <color rgb="FF0000FF"/>
      <name val="Open Sans"/>
    </font>
    <font>
      <sz val="11.0"/>
      <color rgb="FFFF00FF"/>
      <name val="Open Sans"/>
    </font>
    <font>
      <sz val="11.0"/>
      <color rgb="FFFF0000"/>
      <name val="Open Sans"/>
    </font>
    <font>
      <u/>
      <sz val="11.0"/>
      <color rgb="FF0000FF"/>
      <name val="Open Sans"/>
    </font>
    <font>
      <sz val="11.0"/>
      <color rgb="FFCC0000"/>
      <name val="Open Sans"/>
    </font>
    <font>
      <u/>
      <sz val="11.0"/>
      <color rgb="FF0000FF"/>
      <name val="Open Sans"/>
    </font>
    <font>
      <sz val="11.0"/>
      <color rgb="FF0F45A8"/>
      <name val="Open Sans"/>
    </font>
    <font>
      <sz val="11.0"/>
      <color rgb="FFFBBC04"/>
      <name val="Open Sans"/>
    </font>
    <font>
      <sz val="11.0"/>
      <color rgb="FFFF6F31"/>
      <name val="Open Sans"/>
    </font>
    <font>
      <u/>
      <sz val="11.0"/>
      <color rgb="FF0000FF"/>
      <name val="Open Sans"/>
    </font>
    <font>
      <u/>
      <color rgb="FF0000FF"/>
    </font>
    <font>
      <u/>
      <sz val="11.0"/>
      <color rgb="FF0000FF"/>
      <name val="Open Sans"/>
    </font>
    <font>
      <color theme="1"/>
      <name val="Tahoma"/>
    </font>
    <font>
      <u/>
      <color rgb="FF0000FF"/>
      <name val="Tahoma"/>
    </font>
    <font>
      <b/>
      <color theme="7"/>
      <name val="Tahoma"/>
    </font>
    <font>
      <b/>
      <sz val="12.0"/>
      <color theme="1"/>
      <name val="Tahoma"/>
    </font>
    <font>
      <sz val="12.0"/>
      <color theme="1"/>
      <name val="Tahoma"/>
    </font>
    <font>
      <color theme="1"/>
      <name val="Arial"/>
      <scheme val="minor"/>
    </font>
    <font>
      <u/>
      <sz val="12.0"/>
      <color rgb="FF0000FF"/>
      <name val="Tahoma"/>
    </font>
    <font>
      <sz val="11.0"/>
      <color theme="1"/>
      <name val="Tahoma"/>
    </font>
    <font>
      <sz val="11.0"/>
      <color rgb="FF0000FF"/>
      <name val="Tahoma"/>
    </font>
    <font>
      <sz val="11.0"/>
      <color rgb="FF000000"/>
      <name val="Tahoma"/>
    </font>
    <font>
      <u/>
      <sz val="11.0"/>
      <color rgb="FF0000FF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u/>
      <sz val="12.0"/>
      <color rgb="FF000000"/>
      <name val="Tahoma"/>
    </font>
    <font>
      <u/>
      <sz val="12.0"/>
      <color rgb="FF0000FF"/>
      <name val="Tahom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5">
    <border/>
    <border>
      <left style="hair">
        <color rgb="FFFF00FF"/>
      </left>
      <right style="hair">
        <color rgb="FFFF00FF"/>
      </right>
      <top style="hair">
        <color rgb="FFFF00FF"/>
      </top>
      <bottom style="hair">
        <color rgb="FFFF00FF"/>
      </bottom>
    </border>
    <border>
      <left style="hair">
        <color rgb="FF5682B1"/>
      </left>
      <right style="hair">
        <color rgb="FF5682B1"/>
      </right>
      <top style="hair">
        <color rgb="FF5682B1"/>
      </top>
      <bottom style="hair">
        <color rgb="FF5682B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FE2E8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2" fontId="3" numFmtId="0" xfId="0" applyAlignment="1" applyBorder="1" applyFill="1" applyFont="1">
      <alignment horizontal="left" readingOrder="0"/>
    </xf>
    <xf borderId="0" fillId="0" fontId="2" numFmtId="0" xfId="0" applyFont="1"/>
    <xf borderId="0" fillId="0" fontId="2" numFmtId="1" xfId="0" applyAlignment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4" numFmtId="0" xfId="0" applyBorder="1" applyFont="1"/>
    <xf borderId="1" fillId="2" fontId="5" numFmtId="0" xfId="0" applyAlignment="1" applyBorder="1" applyFont="1">
      <alignment horizontal="left"/>
    </xf>
    <xf borderId="1" fillId="0" fontId="6" numFmtId="0" xfId="0" applyAlignment="1" applyBorder="1" applyFont="1">
      <alignment readingOrder="0"/>
    </xf>
    <xf borderId="1" fillId="2" fontId="7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  <xf borderId="1" fillId="2" fontId="5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/>
    </xf>
    <xf borderId="1" fillId="0" fontId="11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2" fontId="12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14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left" readingOrder="0" vertical="top"/>
    </xf>
    <xf borderId="0" fillId="0" fontId="18" numFmtId="0" xfId="0" applyAlignment="1" applyFont="1">
      <alignment horizontal="left" readingOrder="0" shrinkToFit="0" vertical="top" wrapText="1"/>
    </xf>
    <xf borderId="0" fillId="0" fontId="18" numFmtId="164" xfId="0" applyAlignment="1" applyFont="1" applyNumberFormat="1">
      <alignment horizontal="left" readingOrder="0" vertical="top"/>
    </xf>
    <xf borderId="0" fillId="0" fontId="18" numFmtId="0" xfId="0" applyAlignment="1" applyFont="1">
      <alignment horizontal="left" vertical="top"/>
    </xf>
    <xf borderId="0" fillId="0" fontId="18" numFmtId="165" xfId="0" applyAlignment="1" applyFont="1" applyNumberFormat="1">
      <alignment horizontal="left" readingOrder="0" vertical="top"/>
    </xf>
    <xf borderId="2" fillId="0" fontId="18" numFmtId="0" xfId="0" applyAlignment="1" applyBorder="1" applyFont="1">
      <alignment horizontal="left" shrinkToFit="0" vertical="top" wrapText="1"/>
    </xf>
    <xf borderId="2" fillId="0" fontId="18" numFmtId="0" xfId="0" applyAlignment="1" applyBorder="1" applyFont="1">
      <alignment horizontal="left" vertical="top"/>
    </xf>
    <xf borderId="0" fillId="0" fontId="18" numFmtId="0" xfId="0" applyAlignment="1" applyFont="1">
      <alignment horizontal="left" shrinkToFit="0" vertical="top" wrapText="1"/>
    </xf>
    <xf borderId="2" fillId="0" fontId="18" numFmtId="166" xfId="0" applyAlignment="1" applyBorder="1" applyFont="1" applyNumberFormat="1">
      <alignment horizontal="left" vertical="top"/>
    </xf>
    <xf borderId="2" fillId="0" fontId="18" numFmtId="166" xfId="0" applyAlignment="1" applyBorder="1" applyFont="1" applyNumberFormat="1">
      <alignment horizontal="left" readingOrder="0" vertical="top"/>
    </xf>
    <xf borderId="2" fillId="0" fontId="18" numFmtId="0" xfId="0" applyAlignment="1" applyBorder="1" applyFont="1">
      <alignment horizontal="left" readingOrder="0" vertical="top"/>
    </xf>
    <xf borderId="0" fillId="0" fontId="18" numFmtId="167" xfId="0" applyAlignment="1" applyFont="1" applyNumberFormat="1">
      <alignment horizontal="left" readingOrder="0" vertical="top"/>
    </xf>
    <xf borderId="0" fillId="0" fontId="19" numFmtId="0" xfId="0" applyAlignment="1" applyFont="1">
      <alignment horizontal="left" readingOrder="0" shrinkToFit="0" vertical="top" wrapText="1"/>
    </xf>
    <xf borderId="0" fillId="0" fontId="20" numFmtId="0" xfId="0" applyAlignment="1" applyFont="1">
      <alignment horizontal="left" readingOrder="0" vertical="top"/>
    </xf>
    <xf borderId="0" fillId="0" fontId="18" numFmtId="164" xfId="0" applyAlignment="1" applyFont="1" applyNumberFormat="1">
      <alignment horizontal="left" vertical="top"/>
    </xf>
    <xf borderId="0" fillId="0" fontId="21" numFmtId="0" xfId="0" applyAlignment="1" applyFont="1">
      <alignment horizontal="left" readingOrder="0" shrinkToFit="0" vertical="top" wrapText="1"/>
    </xf>
    <xf borderId="0" fillId="0" fontId="21" numFmtId="168" xfId="0" applyAlignment="1" applyFont="1" applyNumberFormat="1">
      <alignment horizontal="left" readingOrder="0" shrinkToFit="0" vertical="top" wrapText="1"/>
    </xf>
    <xf borderId="0" fillId="0" fontId="21" numFmtId="9" xfId="0" applyAlignment="1" applyFont="1" applyNumberFormat="1">
      <alignment horizontal="left" readingOrder="0" shrinkToFit="0" vertical="top" wrapText="1"/>
    </xf>
    <xf borderId="0" fillId="0" fontId="21" numFmtId="0" xfId="0" applyAlignment="1" applyFont="1">
      <alignment horizontal="left" vertical="top"/>
    </xf>
    <xf borderId="0" fillId="0" fontId="22" numFmtId="0" xfId="0" applyAlignment="1" applyFont="1">
      <alignment horizontal="left" readingOrder="0" shrinkToFit="0" vertical="top" wrapText="1"/>
    </xf>
    <xf borderId="0" fillId="0" fontId="22" numFmtId="0" xfId="0" applyAlignment="1" applyFont="1">
      <alignment horizontal="left" shrinkToFit="0" vertical="top" wrapText="1"/>
    </xf>
    <xf borderId="0" fillId="0" fontId="22" numFmtId="168" xfId="0" applyAlignment="1" applyFont="1" applyNumberFormat="1">
      <alignment horizontal="left" readingOrder="0" shrinkToFit="0" vertical="top" wrapText="1"/>
    </xf>
    <xf borderId="0" fillId="0" fontId="23" numFmtId="0" xfId="0" applyAlignment="1" applyFont="1">
      <alignment horizontal="left" shrinkToFit="0" vertical="top" wrapText="1"/>
    </xf>
    <xf borderId="0" fillId="0" fontId="22" numFmtId="9" xfId="0" applyAlignment="1" applyFont="1" applyNumberFormat="1">
      <alignment horizontal="left" shrinkToFit="0" vertical="top" wrapText="1"/>
    </xf>
    <xf borderId="0" fillId="0" fontId="22" numFmtId="0" xfId="0" applyAlignment="1" applyFont="1">
      <alignment horizontal="left" vertical="top"/>
    </xf>
    <xf borderId="0" fillId="0" fontId="22" numFmtId="9" xfId="0" applyAlignment="1" applyFont="1" applyNumberFormat="1">
      <alignment horizontal="left" readingOrder="0" shrinkToFit="0" vertical="top" wrapText="1"/>
    </xf>
    <xf borderId="0" fillId="0" fontId="24" numFmtId="0" xfId="0" applyAlignment="1" applyFont="1">
      <alignment horizontal="left" readingOrder="0" shrinkToFit="0" vertical="top" wrapText="1"/>
    </xf>
    <xf borderId="0" fillId="0" fontId="22" numFmtId="0" xfId="0" applyAlignment="1" applyFont="1">
      <alignment horizontal="left" readingOrder="0" shrinkToFit="0" vertical="top" wrapText="1"/>
    </xf>
    <xf borderId="0" fillId="0" fontId="22" numFmtId="10" xfId="0" applyAlignment="1" applyFont="1" applyNumberFormat="1">
      <alignment horizontal="left" shrinkToFit="0" vertical="top" wrapText="1"/>
    </xf>
    <xf borderId="0" fillId="0" fontId="22" numFmtId="168" xfId="0" applyAlignment="1" applyFont="1" applyNumberFormat="1">
      <alignment horizontal="left" shrinkToFit="0" vertical="top" wrapText="1"/>
    </xf>
    <xf borderId="3" fillId="0" fontId="25" numFmtId="0" xfId="0" applyAlignment="1" applyBorder="1" applyFont="1">
      <alignment readingOrder="0"/>
    </xf>
    <xf borderId="3" fillId="0" fontId="25" numFmtId="0" xfId="0" applyAlignment="1" applyBorder="1" applyFont="1">
      <alignment readingOrder="0"/>
    </xf>
    <xf borderId="3" fillId="0" fontId="25" numFmtId="0" xfId="0" applyAlignment="1" applyBorder="1" applyFont="1">
      <alignment horizontal="right" readingOrder="0"/>
    </xf>
    <xf borderId="3" fillId="0" fontId="25" numFmtId="0" xfId="0" applyAlignment="1" applyBorder="1" applyFont="1">
      <alignment horizontal="left" readingOrder="0"/>
    </xf>
    <xf borderId="3" fillId="0" fontId="25" numFmtId="169" xfId="0" applyAlignment="1" applyBorder="1" applyFont="1" applyNumberFormat="1">
      <alignment horizontal="left" readingOrder="0" vertical="center"/>
    </xf>
    <xf borderId="3" fillId="0" fontId="25" numFmtId="0" xfId="0" applyAlignment="1" applyBorder="1" applyFont="1">
      <alignment horizontal="left" readingOrder="0" vertical="center"/>
    </xf>
    <xf borderId="0" fillId="0" fontId="25" numFmtId="1" xfId="0" applyAlignment="1" applyFont="1" applyNumberFormat="1">
      <alignment horizontal="left" readingOrder="0" vertical="center"/>
    </xf>
    <xf borderId="0" fillId="0" fontId="25" numFmtId="169" xfId="0" applyAlignment="1" applyFont="1" applyNumberFormat="1">
      <alignment horizontal="left" readingOrder="0" vertical="center"/>
    </xf>
    <xf borderId="0" fillId="0" fontId="25" numFmtId="0" xfId="0" applyFont="1"/>
    <xf borderId="0" fillId="0" fontId="25" numFmtId="0" xfId="0" applyAlignment="1" applyFont="1">
      <alignment horizontal="right"/>
    </xf>
    <xf borderId="0" fillId="0" fontId="25" numFmtId="0" xfId="0" applyAlignment="1" applyFont="1">
      <alignment horizontal="left"/>
    </xf>
    <xf borderId="0" fillId="0" fontId="25" numFmtId="169" xfId="0" applyAlignment="1" applyFont="1" applyNumberFormat="1">
      <alignment readingOrder="0" vertical="center"/>
    </xf>
    <xf borderId="0" fillId="0" fontId="25" numFmtId="9" xfId="0" applyAlignment="1" applyFont="1" applyNumberFormat="1">
      <alignment readingOrder="0" vertical="center"/>
    </xf>
    <xf borderId="0" fillId="0" fontId="25" numFmtId="1" xfId="0" applyAlignment="1" applyFont="1" applyNumberFormat="1">
      <alignment readingOrder="0" vertical="center"/>
    </xf>
    <xf borderId="0" fillId="0" fontId="25" numFmtId="169" xfId="0" applyAlignment="1" applyFont="1" applyNumberFormat="1">
      <alignment vertical="center"/>
    </xf>
    <xf borderId="0" fillId="0" fontId="25" numFmtId="9" xfId="0" applyAlignment="1" applyFont="1" applyNumberFormat="1">
      <alignment vertical="center"/>
    </xf>
    <xf borderId="0" fillId="0" fontId="25" numFmtId="0" xfId="0" applyFont="1"/>
    <xf borderId="0" fillId="0" fontId="25" numFmtId="0" xfId="0" applyAlignment="1" applyFont="1">
      <alignment horizontal="right"/>
    </xf>
    <xf borderId="0" fillId="0" fontId="26" numFmtId="0" xfId="0" applyFont="1"/>
    <xf borderId="0" fillId="3" fontId="25" numFmtId="0" xfId="0" applyFill="1" applyFont="1"/>
    <xf borderId="0" fillId="3" fontId="26" numFmtId="0" xfId="0" applyFont="1"/>
    <xf borderId="0" fillId="3" fontId="25" numFmtId="0" xfId="0" applyAlignment="1" applyFont="1">
      <alignment horizontal="right"/>
    </xf>
    <xf borderId="0" fillId="3" fontId="25" numFmtId="0" xfId="0" applyAlignment="1" applyFont="1">
      <alignment horizontal="left"/>
    </xf>
    <xf borderId="0" fillId="3" fontId="25" numFmtId="169" xfId="0" applyAlignment="1" applyFont="1" applyNumberFormat="1">
      <alignment vertical="center"/>
    </xf>
    <xf borderId="0" fillId="3" fontId="25" numFmtId="9" xfId="0" applyAlignment="1" applyFont="1" applyNumberFormat="1">
      <alignment vertical="center"/>
    </xf>
    <xf borderId="0" fillId="3" fontId="25" numFmtId="1" xfId="0" applyAlignment="1" applyFont="1" applyNumberFormat="1">
      <alignment readingOrder="0" vertical="center"/>
    </xf>
    <xf borderId="0" fillId="3" fontId="25" numFmtId="0" xfId="0" applyFont="1"/>
    <xf borderId="0" fillId="3" fontId="25" numFmtId="0" xfId="0" applyAlignment="1" applyFont="1">
      <alignment horizontal="right"/>
    </xf>
    <xf borderId="0" fillId="4" fontId="25" numFmtId="0" xfId="0" applyFill="1" applyFont="1"/>
    <xf borderId="0" fillId="4" fontId="26" numFmtId="0" xfId="0" applyFont="1"/>
    <xf borderId="0" fillId="4" fontId="25" numFmtId="0" xfId="0" applyAlignment="1" applyFont="1">
      <alignment horizontal="right"/>
    </xf>
    <xf borderId="0" fillId="4" fontId="25" numFmtId="0" xfId="0" applyAlignment="1" applyFont="1">
      <alignment horizontal="left"/>
    </xf>
    <xf borderId="0" fillId="4" fontId="25" numFmtId="169" xfId="0" applyAlignment="1" applyFont="1" applyNumberFormat="1">
      <alignment vertical="center"/>
    </xf>
    <xf borderId="0" fillId="4" fontId="25" numFmtId="9" xfId="0" applyAlignment="1" applyFont="1" applyNumberFormat="1">
      <alignment vertical="center"/>
    </xf>
    <xf borderId="0" fillId="4" fontId="25" numFmtId="1" xfId="0" applyAlignment="1" applyFont="1" applyNumberFormat="1">
      <alignment readingOrder="0" vertical="center"/>
    </xf>
    <xf borderId="0" fillId="3" fontId="27" numFmtId="169" xfId="0" applyAlignment="1" applyFont="1" applyNumberFormat="1">
      <alignment vertical="center"/>
    </xf>
    <xf borderId="0" fillId="4" fontId="25" numFmtId="0" xfId="0" applyAlignment="1" applyFont="1">
      <alignment horizontal="right"/>
    </xf>
    <xf borderId="0" fillId="0" fontId="26" numFmtId="0" xfId="0" applyFont="1"/>
    <xf borderId="0" fillId="4" fontId="26" numFmtId="0" xfId="0" applyFont="1"/>
    <xf borderId="0" fillId="4" fontId="25" numFmtId="0" xfId="0" applyFont="1"/>
    <xf borderId="0" fillId="0" fontId="25" numFmtId="169" xfId="0" applyAlignment="1" applyFont="1" applyNumberFormat="1">
      <alignment readingOrder="0"/>
    </xf>
    <xf borderId="0" fillId="0" fontId="25" numFmtId="9" xfId="0" applyAlignment="1" applyFont="1" applyNumberFormat="1">
      <alignment readingOrder="0"/>
    </xf>
    <xf borderId="0" fillId="0" fontId="25" numFmtId="0" xfId="0" applyAlignment="1" applyFont="1">
      <alignment readingOrder="0"/>
    </xf>
    <xf borderId="0" fillId="0" fontId="25" numFmtId="169" xfId="0" applyFont="1" applyNumberFormat="1"/>
    <xf borderId="0" fillId="0" fontId="25" numFmtId="9" xfId="0" applyFont="1" applyNumberFormat="1"/>
    <xf borderId="0" fillId="0" fontId="27" numFmtId="0" xfId="0" applyFont="1"/>
    <xf borderId="0" fillId="0" fontId="25" numFmtId="1" xfId="0" applyAlignment="1" applyFont="1" applyNumberFormat="1">
      <alignment readingOrder="0"/>
    </xf>
    <xf borderId="0" fillId="0" fontId="25" numFmtId="0" xfId="0" applyAlignment="1" applyFont="1">
      <alignment horizontal="left"/>
    </xf>
    <xf borderId="0" fillId="0" fontId="25" numFmtId="0" xfId="0" applyFont="1"/>
    <xf borderId="0" fillId="4" fontId="25" numFmtId="0" xfId="0" applyFont="1"/>
    <xf borderId="0" fillId="4" fontId="25" numFmtId="0" xfId="0" applyAlignment="1" applyFont="1">
      <alignment horizontal="left"/>
    </xf>
    <xf borderId="0" fillId="4" fontId="25" numFmtId="169" xfId="0" applyFont="1" applyNumberFormat="1"/>
    <xf borderId="0" fillId="4" fontId="25" numFmtId="9" xfId="0" applyFont="1" applyNumberFormat="1"/>
    <xf borderId="0" fillId="4" fontId="25" numFmtId="1" xfId="0" applyAlignment="1" applyFont="1" applyNumberFormat="1">
      <alignment readingOrder="0"/>
    </xf>
    <xf borderId="0" fillId="0" fontId="28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3" numFmtId="169" xfId="0" applyFont="1" applyNumberFormat="1"/>
    <xf borderId="0" fillId="0" fontId="25" numFmtId="1" xfId="0" applyFont="1" applyNumberFormat="1"/>
    <xf borderId="0" fillId="0" fontId="23" numFmtId="168" xfId="0" applyAlignment="1" applyFont="1" applyNumberFormat="1">
      <alignment readingOrder="0"/>
    </xf>
    <xf borderId="0" fillId="0" fontId="23" numFmtId="165" xfId="0" applyAlignment="1" applyFont="1" applyNumberFormat="1">
      <alignment readingOrder="0"/>
    </xf>
    <xf borderId="0" fillId="0" fontId="23" numFmtId="14" xfId="0" applyAlignment="1" applyFont="1" applyNumberFormat="1">
      <alignment readingOrder="0"/>
    </xf>
    <xf borderId="0" fillId="0" fontId="23" numFmtId="168" xfId="0" applyFont="1" applyNumberFormat="1"/>
    <xf borderId="4" fillId="2" fontId="22" numFmtId="0" xfId="0" applyAlignment="1" applyBorder="1" applyFont="1">
      <alignment horizontal="left" readingOrder="0"/>
    </xf>
    <xf borderId="0" fillId="0" fontId="22" numFmtId="0" xfId="0" applyFont="1"/>
    <xf borderId="0" fillId="0" fontId="22" numFmtId="0" xfId="0" applyAlignment="1" applyFont="1">
      <alignment horizontal="left" readingOrder="0" vertical="top"/>
    </xf>
    <xf borderId="0" fillId="0" fontId="29" numFmtId="0" xfId="0" applyAlignment="1" applyFont="1">
      <alignment horizontal="left" readingOrder="0" vertical="top"/>
    </xf>
    <xf borderId="0" fillId="0" fontId="22" numFmtId="170" xfId="0" applyAlignment="1" applyFont="1" applyNumberFormat="1">
      <alignment horizontal="left" readingOrder="0" shrinkToFit="0" vertical="top" wrapText="1"/>
    </xf>
    <xf borderId="0" fillId="0" fontId="22" numFmtId="0" xfId="0" applyAlignment="1" applyFont="1">
      <alignment horizontal="left"/>
    </xf>
    <xf borderId="0" fillId="0" fontId="22" numFmtId="0" xfId="0" applyAlignment="1" applyFont="1">
      <alignment horizontal="left" readingOrder="0"/>
    </xf>
    <xf borderId="0" fillId="0" fontId="22" numFmtId="0" xfId="0" applyAlignment="1" applyFont="1">
      <alignment horizontal="left" readingOrder="0"/>
    </xf>
    <xf borderId="0" fillId="0" fontId="30" numFmtId="0" xfId="0" applyAlignment="1" applyFont="1">
      <alignment horizontal="left" readingOrder="0"/>
    </xf>
    <xf borderId="0" fillId="0" fontId="22" numFmtId="167" xfId="0" applyAlignment="1" applyFont="1" applyNumberFormat="1">
      <alignment horizontal="left" readingOrder="0"/>
    </xf>
    <xf borderId="0" fillId="0" fontId="22" numFmtId="164" xfId="0" applyAlignment="1" applyFont="1" applyNumberFormat="1">
      <alignment horizontal="left"/>
    </xf>
    <xf borderId="0" fillId="0" fontId="22" numFmtId="171" xfId="0" applyAlignment="1" applyFont="1" applyNumberFormat="1">
      <alignment horizontal="left"/>
    </xf>
    <xf borderId="0" fillId="0" fontId="22" numFmtId="0" xfId="0" applyAlignment="1" applyFont="1">
      <alignment horizontal="left"/>
    </xf>
    <xf borderId="0" fillId="0" fontId="22" numFmtId="165" xfId="0" applyAlignment="1" applyFont="1" applyNumberFormat="1">
      <alignment horizontal="left"/>
    </xf>
    <xf borderId="0" fillId="0" fontId="31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0" fontId="22" numFmtId="170" xfId="0" applyAlignment="1" applyFont="1" applyNumberFormat="1">
      <alignment horizontal="left" readingOrder="0"/>
    </xf>
    <xf borderId="0" fillId="0" fontId="2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22" numFmtId="2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2NipA59dsYn2IOMe0C0xVNetbfLp3J4M" TargetMode="External"/><Relationship Id="rId20" Type="http://schemas.openxmlformats.org/officeDocument/2006/relationships/hyperlink" Target="https://drive.google.com/drive/folders/1vH39fpF8BDgLH1Mrv_mZUPc2oDgFIjSZ" TargetMode="External"/><Relationship Id="rId42" Type="http://schemas.openxmlformats.org/officeDocument/2006/relationships/hyperlink" Target="https://drive.google.com/drive/folders/1NlLczFjk0yF-l1GnYCxFimlgzWYEkCst" TargetMode="External"/><Relationship Id="rId41" Type="http://schemas.openxmlformats.org/officeDocument/2006/relationships/hyperlink" Target="https://drive.google.com/drive/folders/1C67HmuEHhmuyihELsv1QuY9rISoKKq2o" TargetMode="External"/><Relationship Id="rId22" Type="http://schemas.openxmlformats.org/officeDocument/2006/relationships/hyperlink" Target="https://drive.google.com/drive/folders/1ONWUK-qHtIBRDCGvOIvgqkvZLkkqsnF3" TargetMode="External"/><Relationship Id="rId44" Type="http://schemas.openxmlformats.org/officeDocument/2006/relationships/hyperlink" Target="https://drive.google.com/drive/folders/11ywfvFB3LeIIEY2hnFw3Bw3kPXNcj3Mt" TargetMode="External"/><Relationship Id="rId21" Type="http://schemas.openxmlformats.org/officeDocument/2006/relationships/hyperlink" Target="https://drive.google.com/drive/folders/14SSmOv7B7K0XXgcIxOxoBfxTQ1L829Su" TargetMode="External"/><Relationship Id="rId43" Type="http://schemas.openxmlformats.org/officeDocument/2006/relationships/hyperlink" Target="https://drive.google.com/drive/folders/1I0lRQuYNO2igzJuR2EKnNSC7t-xPp92K" TargetMode="External"/><Relationship Id="rId24" Type="http://schemas.openxmlformats.org/officeDocument/2006/relationships/hyperlink" Target="https://drive.google.com/drive/folders/1SbBusvO0oGc2TAhh8RiMe-cLJqOeEzwf" TargetMode="External"/><Relationship Id="rId46" Type="http://schemas.openxmlformats.org/officeDocument/2006/relationships/vmlDrawing" Target="../drawings/vmlDrawing1.vml"/><Relationship Id="rId23" Type="http://schemas.openxmlformats.org/officeDocument/2006/relationships/hyperlink" Target="https://drive.google.com/drive/folders/1P3t87ghU6qcpfXLVyE-PeSsV2foYqFOB" TargetMode="External"/><Relationship Id="rId45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4vxMc1RqlBTu-URNstBZ-KWqTE387sv5" TargetMode="External"/><Relationship Id="rId3" Type="http://schemas.openxmlformats.org/officeDocument/2006/relationships/hyperlink" Target="https://drive.google.com/drive/folders/1-aaHi4sgjRn3B6JVbu6aRyJlQA6rsd5f" TargetMode="External"/><Relationship Id="rId4" Type="http://schemas.openxmlformats.org/officeDocument/2006/relationships/hyperlink" Target="https://drive.google.com/drive/folders/1iAruyKz0k1EhRHFm2rwI4IOZzW-nOXeN" TargetMode="External"/><Relationship Id="rId9" Type="http://schemas.openxmlformats.org/officeDocument/2006/relationships/hyperlink" Target="https://drive.google.com/drive/folders/1q01x66w1_XNAtaL_wW4RtqI1xunJYK-b" TargetMode="External"/><Relationship Id="rId26" Type="http://schemas.openxmlformats.org/officeDocument/2006/relationships/hyperlink" Target="https://drive.google.com/drive/folders/15XFtwTskGMGciukbWpefNMr8xxkWG5G2" TargetMode="External"/><Relationship Id="rId25" Type="http://schemas.openxmlformats.org/officeDocument/2006/relationships/hyperlink" Target="https://drive.google.com/drive/folders/1O2a5lCqX_56l2bEflL1X4v1YxrciMKoZ" TargetMode="External"/><Relationship Id="rId28" Type="http://schemas.openxmlformats.org/officeDocument/2006/relationships/hyperlink" Target="https://drive.google.com/drive/folders/1YYC3KN1JGAbgcNAsGHF10DHPQuuiCF2-" TargetMode="External"/><Relationship Id="rId27" Type="http://schemas.openxmlformats.org/officeDocument/2006/relationships/hyperlink" Target="https://drive.google.com/drive/folders/1Om-ZBNXJZb-6qj4PX-0UaW856ZiyPouv" TargetMode="External"/><Relationship Id="rId5" Type="http://schemas.openxmlformats.org/officeDocument/2006/relationships/hyperlink" Target="https://drive.google.com/drive/folders/18ULAJaInD_x6cJ0ekns5fWCTk9Br1F2j" TargetMode="External"/><Relationship Id="rId6" Type="http://schemas.openxmlformats.org/officeDocument/2006/relationships/hyperlink" Target="https://drive.google.com/drive/folders/1N6HBufOVOjvrM2avvUMb5HJdMdmtAsfD" TargetMode="External"/><Relationship Id="rId29" Type="http://schemas.openxmlformats.org/officeDocument/2006/relationships/hyperlink" Target="https://drive.google.com/drive/folders/1NT0YcwUZjP7waBc4nZD_ywLyMUix3ECy" TargetMode="External"/><Relationship Id="rId7" Type="http://schemas.openxmlformats.org/officeDocument/2006/relationships/hyperlink" Target="https://drive.google.com/drive/folders/1oABsdjuJ0HyXA6uemXQlZUP7pN9-Na5X" TargetMode="External"/><Relationship Id="rId8" Type="http://schemas.openxmlformats.org/officeDocument/2006/relationships/hyperlink" Target="https://drive.google.com/drive/folders/1NcXI4zV9hFa6MDweUTVqZ4N1nhUqxJoW" TargetMode="External"/><Relationship Id="rId31" Type="http://schemas.openxmlformats.org/officeDocument/2006/relationships/hyperlink" Target="https://drive.google.com/drive/folders/1zzM--JwuCTVcM7a8EOyAL-n_FK8dAv-K" TargetMode="External"/><Relationship Id="rId30" Type="http://schemas.openxmlformats.org/officeDocument/2006/relationships/hyperlink" Target="https://drive.google.com/drive/folders/14GR6CVn7f2aa_iZv1E75WavytLGCJolp" TargetMode="External"/><Relationship Id="rId11" Type="http://schemas.openxmlformats.org/officeDocument/2006/relationships/hyperlink" Target="https://drive.google.com/drive/folders/1Nzc9DRsU_Vq9A5If0O2Ajjq6aN6b_UCW" TargetMode="External"/><Relationship Id="rId33" Type="http://schemas.openxmlformats.org/officeDocument/2006/relationships/hyperlink" Target="https://drive.google.com/drive/folders/1ZRmYlboeiXxtwCkJGC0698e0wyeHZOAi" TargetMode="External"/><Relationship Id="rId10" Type="http://schemas.openxmlformats.org/officeDocument/2006/relationships/hyperlink" Target="https://drive.google.com/drive/folders/12q-BgaRbCF3KZWBCMuDBWSfgxB0cF6E7" TargetMode="External"/><Relationship Id="rId32" Type="http://schemas.openxmlformats.org/officeDocument/2006/relationships/hyperlink" Target="https://drive.google.com/drive/folders/1URIBqqHA-mZznmATdGmGNpH0Br0t8Z-2" TargetMode="External"/><Relationship Id="rId13" Type="http://schemas.openxmlformats.org/officeDocument/2006/relationships/hyperlink" Target="https://drive.google.com/drive/folders/1_HNJIoUBDK7XFLONbVlEMzFkN9Pz6m0u" TargetMode="External"/><Relationship Id="rId35" Type="http://schemas.openxmlformats.org/officeDocument/2006/relationships/hyperlink" Target="https://drive.google.com/drive/folders/10ukP0lT7gFNrI-YZiObMgufAseed1wo-" TargetMode="External"/><Relationship Id="rId12" Type="http://schemas.openxmlformats.org/officeDocument/2006/relationships/hyperlink" Target="https://drive.google.com/drive/folders/13Rs28n7vZ_Q32Yko3XLJXCht1eD5pCNx" TargetMode="External"/><Relationship Id="rId34" Type="http://schemas.openxmlformats.org/officeDocument/2006/relationships/hyperlink" Target="https://drive.google.com/drive/folders/1Um-epJUDhZcq0HWmyMTv0Zxvtnbiu4eu" TargetMode="External"/><Relationship Id="rId15" Type="http://schemas.openxmlformats.org/officeDocument/2006/relationships/hyperlink" Target="https://drive.google.com/drive/folders/1ACnaJELmrcNmVxcxNpO32t-GaK_lIMAq" TargetMode="External"/><Relationship Id="rId37" Type="http://schemas.openxmlformats.org/officeDocument/2006/relationships/hyperlink" Target="https://drive.google.com/drive/folders/1W20Cfxofy-ij2nNzfk3nQPWg7ERaZBlg" TargetMode="External"/><Relationship Id="rId14" Type="http://schemas.openxmlformats.org/officeDocument/2006/relationships/hyperlink" Target="https://drive.google.com/drive/folders/1Y9yLWQW3rGmm5ZITWygsME9m4Xn7XdWi" TargetMode="External"/><Relationship Id="rId36" Type="http://schemas.openxmlformats.org/officeDocument/2006/relationships/hyperlink" Target="https://drive.google.com/drive/folders/1zCaKAQSAMH5n_8cuTQ1ZzPOf6bUX6paz" TargetMode="External"/><Relationship Id="rId17" Type="http://schemas.openxmlformats.org/officeDocument/2006/relationships/hyperlink" Target="https://drive.google.com/drive/folders/19Dmq93qv-SoxcDylN_WImDVq-m-S-ku8" TargetMode="External"/><Relationship Id="rId39" Type="http://schemas.openxmlformats.org/officeDocument/2006/relationships/hyperlink" Target="https://drive.google.com/drive/folders/1GA2LmK7BuG8-EydX2LQL4kDMEO21snZ5" TargetMode="External"/><Relationship Id="rId16" Type="http://schemas.openxmlformats.org/officeDocument/2006/relationships/hyperlink" Target="https://drive.google.com/drive/folders/12dTuol10rXJdtokKsWTPq8LAx93pX50u" TargetMode="External"/><Relationship Id="rId38" Type="http://schemas.openxmlformats.org/officeDocument/2006/relationships/hyperlink" Target="https://drive.google.com/drive/folders/1qMwG4QRWpf4oegGC8MOmUJGinpTeeYpy" TargetMode="External"/><Relationship Id="rId19" Type="http://schemas.openxmlformats.org/officeDocument/2006/relationships/hyperlink" Target="https://drive.google.com/drive/folders/1TCcYwVwWz9AeKYjZDJp54RZ-3mahmk6K" TargetMode="External"/><Relationship Id="rId18" Type="http://schemas.openxmlformats.org/officeDocument/2006/relationships/hyperlink" Target="https://drive.google.com/drive/folders/1-dds5p0THDcEX_3OKWAXR77GSOpax-s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yMFTsL4UtkzTTwbq5" TargetMode="External"/><Relationship Id="rId2" Type="http://schemas.openxmlformats.org/officeDocument/2006/relationships/hyperlink" Target="https://maps.app.goo.gl/dxbcs8gStuondizb6" TargetMode="External"/><Relationship Id="rId3" Type="http://schemas.openxmlformats.org/officeDocument/2006/relationships/hyperlink" Target="https://maps.app.goo.gl/JtX49QihjMFe81No8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B5oVPz3nfqGFCFcU6" TargetMode="External"/><Relationship Id="rId2" Type="http://schemas.openxmlformats.org/officeDocument/2006/relationships/hyperlink" Target="https://maps.app.goo.gl/xudana92YAW9vNRdA" TargetMode="External"/><Relationship Id="rId3" Type="http://schemas.openxmlformats.org/officeDocument/2006/relationships/hyperlink" Target="https://maps.app.goo.gl/c6wS6b9ZcwRuBJd3A" TargetMode="External"/><Relationship Id="rId4" Type="http://schemas.openxmlformats.org/officeDocument/2006/relationships/hyperlink" Target="https://maps.app.goo.gl/6frbBzJMd31v1uV3A" TargetMode="External"/><Relationship Id="rId9" Type="http://schemas.openxmlformats.org/officeDocument/2006/relationships/hyperlink" Target="https://maps.app.goo.gl/QFXDJRuagZnYm1gn6" TargetMode="External"/><Relationship Id="rId5" Type="http://schemas.openxmlformats.org/officeDocument/2006/relationships/hyperlink" Target="https://maps.app.goo.gl/a9FXmmvfVpTwD46t8" TargetMode="External"/><Relationship Id="rId6" Type="http://schemas.openxmlformats.org/officeDocument/2006/relationships/hyperlink" Target="https://maps.app.goo.gl/nr21graFQKehvPih9" TargetMode="External"/><Relationship Id="rId7" Type="http://schemas.openxmlformats.org/officeDocument/2006/relationships/hyperlink" Target="https://maps.app.goo.gl/PU295WVtwEvxCRHSA" TargetMode="External"/><Relationship Id="rId8" Type="http://schemas.openxmlformats.org/officeDocument/2006/relationships/hyperlink" Target="https://maps.app.goo.gl/XdSob6JbdHqrxJ949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maps.app.goo.gl/gKb6QtSH52Gm1hsd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home.solarmanpv.com/login" TargetMode="External"/><Relationship Id="rId42" Type="http://schemas.openxmlformats.org/officeDocument/2006/relationships/hyperlink" Target="https://pv.polycabmonitoring.com/dist/" TargetMode="External"/><Relationship Id="rId41" Type="http://schemas.openxmlformats.org/officeDocument/2006/relationships/hyperlink" Target="https://pv.polycabmonitoring.com/dist/" TargetMode="External"/><Relationship Id="rId44" Type="http://schemas.openxmlformats.org/officeDocument/2006/relationships/hyperlink" Target="https://home.solarmanpv.com/login" TargetMode="External"/><Relationship Id="rId43" Type="http://schemas.openxmlformats.org/officeDocument/2006/relationships/hyperlink" Target="https://pv.polycabmonitoring.com/dist/" TargetMode="External"/><Relationship Id="rId46" Type="http://schemas.openxmlformats.org/officeDocument/2006/relationships/hyperlink" Target="https://home.solarmanpv.com/login" TargetMode="External"/><Relationship Id="rId45" Type="http://schemas.openxmlformats.org/officeDocument/2006/relationships/hyperlink" Target="https://server.growatt.com/login" TargetMode="External"/><Relationship Id="rId48" Type="http://schemas.openxmlformats.org/officeDocument/2006/relationships/hyperlink" Target="http://power-datacenter.com/cmc/login_system.html" TargetMode="External"/><Relationship Id="rId47" Type="http://schemas.openxmlformats.org/officeDocument/2006/relationships/hyperlink" Target="https://server.growatt.com/login" TargetMode="External"/><Relationship Id="rId49" Type="http://schemas.openxmlformats.org/officeDocument/2006/relationships/hyperlink" Target="https://home.solarmanpv.com/login" TargetMode="External"/><Relationship Id="rId102" Type="http://schemas.openxmlformats.org/officeDocument/2006/relationships/drawing" Target="../drawings/drawing6.xml"/><Relationship Id="rId101" Type="http://schemas.openxmlformats.org/officeDocument/2006/relationships/hyperlink" Target="https://home.solarmanpv.com/login" TargetMode="External"/><Relationship Id="rId100" Type="http://schemas.openxmlformats.org/officeDocument/2006/relationships/hyperlink" Target="https://www.semsportal.com/home/login" TargetMode="External"/><Relationship Id="rId31" Type="http://schemas.openxmlformats.org/officeDocument/2006/relationships/hyperlink" Target="https://www.auroravision.net/ums/v1/loginPage?redirectUrl=https:%2F%2Fwww.auroravision.net%2Fhome%2F" TargetMode="External"/><Relationship Id="rId30" Type="http://schemas.openxmlformats.org/officeDocument/2006/relationships/hyperlink" Target="https://home.solarmanpv.com/login" TargetMode="External"/><Relationship Id="rId33" Type="http://schemas.openxmlformats.org/officeDocument/2006/relationships/hyperlink" Target="https://server.growatt.com/login" TargetMode="External"/><Relationship Id="rId32" Type="http://schemas.openxmlformats.org/officeDocument/2006/relationships/hyperlink" Target="https://home.solarmanpv.com/login" TargetMode="External"/><Relationship Id="rId35" Type="http://schemas.openxmlformats.org/officeDocument/2006/relationships/hyperlink" Target="https://home.solarmanpv.com/login" TargetMode="External"/><Relationship Id="rId34" Type="http://schemas.openxmlformats.org/officeDocument/2006/relationships/hyperlink" Target="https://www.auroravision.net/ums/v1/loginPage?redirectUrl=https:%2F%2Fwww.auroravision.net%2Fhome%2F" TargetMode="External"/><Relationship Id="rId37" Type="http://schemas.openxmlformats.org/officeDocument/2006/relationships/hyperlink" Target="https://pv.polycabmonitoring.com/dist/" TargetMode="External"/><Relationship Id="rId36" Type="http://schemas.openxmlformats.org/officeDocument/2006/relationships/hyperlink" Target="https://home.solarmanpv.com/login" TargetMode="External"/><Relationship Id="rId39" Type="http://schemas.openxmlformats.org/officeDocument/2006/relationships/hyperlink" Target="https://home.solarmanpv.com/login" TargetMode="External"/><Relationship Id="rId38" Type="http://schemas.openxmlformats.org/officeDocument/2006/relationships/hyperlink" Target="https://home.solarmanpv.com/login" TargetMode="External"/><Relationship Id="rId20" Type="http://schemas.openxmlformats.org/officeDocument/2006/relationships/hyperlink" Target="https://home.solarmanpv.com/login" TargetMode="External"/><Relationship Id="rId22" Type="http://schemas.openxmlformats.org/officeDocument/2006/relationships/hyperlink" Target="https://server.growatt.com/login" TargetMode="External"/><Relationship Id="rId21" Type="http://schemas.openxmlformats.org/officeDocument/2006/relationships/hyperlink" Target="https://home.solarmanpv.com/login" TargetMode="External"/><Relationship Id="rId24" Type="http://schemas.openxmlformats.org/officeDocument/2006/relationships/hyperlink" Target="https://home.solarmanpv.com/login" TargetMode="External"/><Relationship Id="rId23" Type="http://schemas.openxmlformats.org/officeDocument/2006/relationships/hyperlink" Target="https://home.solarmanpv.com/login" TargetMode="External"/><Relationship Id="rId26" Type="http://schemas.openxmlformats.org/officeDocument/2006/relationships/hyperlink" Target="https://server.growatt.com/login" TargetMode="External"/><Relationship Id="rId25" Type="http://schemas.openxmlformats.org/officeDocument/2006/relationships/hyperlink" Target="https://server.growatt.com/login" TargetMode="External"/><Relationship Id="rId28" Type="http://schemas.openxmlformats.org/officeDocument/2006/relationships/hyperlink" Target="mailto:panchapakesanashok1@gmail.com" TargetMode="External"/><Relationship Id="rId27" Type="http://schemas.openxmlformats.org/officeDocument/2006/relationships/hyperlink" Target="https://www.isolarcloud.com.hk/" TargetMode="External"/><Relationship Id="rId29" Type="http://schemas.openxmlformats.org/officeDocument/2006/relationships/hyperlink" Target="https://home.solarmanpv.com/login" TargetMode="External"/><Relationship Id="rId95" Type="http://schemas.openxmlformats.org/officeDocument/2006/relationships/hyperlink" Target="https://home.solarmanpv.com/login" TargetMode="External"/><Relationship Id="rId94" Type="http://schemas.openxmlformats.org/officeDocument/2006/relationships/hyperlink" Target="https://home.solarmanpv.com/login" TargetMode="External"/><Relationship Id="rId97" Type="http://schemas.openxmlformats.org/officeDocument/2006/relationships/hyperlink" Target="https://server.growatt.com/login" TargetMode="External"/><Relationship Id="rId96" Type="http://schemas.openxmlformats.org/officeDocument/2006/relationships/hyperlink" Target="https://server.growatt.com/login" TargetMode="External"/><Relationship Id="rId11" Type="http://schemas.openxmlformats.org/officeDocument/2006/relationships/hyperlink" Target="https://www.isolarcloud.com.hk/" TargetMode="External"/><Relationship Id="rId99" Type="http://schemas.openxmlformats.org/officeDocument/2006/relationships/hyperlink" Target="https://home.solarmanpv.com/login" TargetMode="External"/><Relationship Id="rId10" Type="http://schemas.openxmlformats.org/officeDocument/2006/relationships/hyperlink" Target="https://server.growatt.com/login" TargetMode="External"/><Relationship Id="rId98" Type="http://schemas.openxmlformats.org/officeDocument/2006/relationships/hyperlink" Target="https://home.solarmanpv.com/login" TargetMode="External"/><Relationship Id="rId13" Type="http://schemas.openxmlformats.org/officeDocument/2006/relationships/hyperlink" Target="https://home.solarmanpv.com/login" TargetMode="External"/><Relationship Id="rId12" Type="http://schemas.openxmlformats.org/officeDocument/2006/relationships/hyperlink" Target="https://home.solarmanpv.com/login" TargetMode="External"/><Relationship Id="rId91" Type="http://schemas.openxmlformats.org/officeDocument/2006/relationships/hyperlink" Target="https://home.solarmanpv.com/login" TargetMode="External"/><Relationship Id="rId90" Type="http://schemas.openxmlformats.org/officeDocument/2006/relationships/hyperlink" Target="https://home.solarmanpv.com/login" TargetMode="External"/><Relationship Id="rId93" Type="http://schemas.openxmlformats.org/officeDocument/2006/relationships/hyperlink" Target="https://home.solarmanpv.com/login" TargetMode="External"/><Relationship Id="rId92" Type="http://schemas.openxmlformats.org/officeDocument/2006/relationships/hyperlink" Target="https://home.solarmanpv.com/login" TargetMode="External"/><Relationship Id="rId15" Type="http://schemas.openxmlformats.org/officeDocument/2006/relationships/hyperlink" Target="https://www.isolarcloud.com.hk/" TargetMode="External"/><Relationship Id="rId14" Type="http://schemas.openxmlformats.org/officeDocument/2006/relationships/hyperlink" Target="https://home.solarmanpv.com/login" TargetMode="External"/><Relationship Id="rId17" Type="http://schemas.openxmlformats.org/officeDocument/2006/relationships/hyperlink" Target="https://home.solarmanpv.com/login" TargetMode="External"/><Relationship Id="rId16" Type="http://schemas.openxmlformats.org/officeDocument/2006/relationships/hyperlink" Target="https://home.solarmanpv.com/login" TargetMode="External"/><Relationship Id="rId19" Type="http://schemas.openxmlformats.org/officeDocument/2006/relationships/hyperlink" Target="https://home.solarmanpv.com/login" TargetMode="External"/><Relationship Id="rId18" Type="http://schemas.openxmlformats.org/officeDocument/2006/relationships/hyperlink" Target="https://www.isolarcloud.com.hk/" TargetMode="External"/><Relationship Id="rId84" Type="http://schemas.openxmlformats.org/officeDocument/2006/relationships/hyperlink" Target="https://home.solarmanpv.com/login" TargetMode="External"/><Relationship Id="rId83" Type="http://schemas.openxmlformats.org/officeDocument/2006/relationships/hyperlink" Target="https://home.solarmanpv.com/login" TargetMode="External"/><Relationship Id="rId86" Type="http://schemas.openxmlformats.org/officeDocument/2006/relationships/hyperlink" Target="https://home.solarmanpv.com/login" TargetMode="External"/><Relationship Id="rId85" Type="http://schemas.openxmlformats.org/officeDocument/2006/relationships/hyperlink" Target="https://home.solarmanpv.com/login" TargetMode="External"/><Relationship Id="rId88" Type="http://schemas.openxmlformats.org/officeDocument/2006/relationships/hyperlink" Target="https://home.solarmanpv.com/login" TargetMode="External"/><Relationship Id="rId87" Type="http://schemas.openxmlformats.org/officeDocument/2006/relationships/hyperlink" Target="https://home.solarmanpv.com/login" TargetMode="External"/><Relationship Id="rId89" Type="http://schemas.openxmlformats.org/officeDocument/2006/relationships/hyperlink" Target="https://home.solarmanpv.com/login" TargetMode="External"/><Relationship Id="rId80" Type="http://schemas.openxmlformats.org/officeDocument/2006/relationships/hyperlink" Target="https://home.solarmanpv.com/login" TargetMode="External"/><Relationship Id="rId82" Type="http://schemas.openxmlformats.org/officeDocument/2006/relationships/hyperlink" Target="https://home.solarmanpv.com/login" TargetMode="External"/><Relationship Id="rId81" Type="http://schemas.openxmlformats.org/officeDocument/2006/relationships/hyperlink" Target="https://home.solarmanpv.com/login" TargetMode="External"/><Relationship Id="rId1" Type="http://schemas.openxmlformats.org/officeDocument/2006/relationships/hyperlink" Target="https://www.isolarcloud.com.hk/" TargetMode="External"/><Relationship Id="rId2" Type="http://schemas.openxmlformats.org/officeDocument/2006/relationships/hyperlink" Target="https://home.solarmanpv.com/login" TargetMode="External"/><Relationship Id="rId3" Type="http://schemas.openxmlformats.org/officeDocument/2006/relationships/hyperlink" Target="https://home.solarmanpv.com/login" TargetMode="External"/><Relationship Id="rId4" Type="http://schemas.openxmlformats.org/officeDocument/2006/relationships/hyperlink" Target="https://home.solarmanpv.com/login" TargetMode="External"/><Relationship Id="rId9" Type="http://schemas.openxmlformats.org/officeDocument/2006/relationships/hyperlink" Target="https://www.isolarcloud.com.hk/" TargetMode="External"/><Relationship Id="rId5" Type="http://schemas.openxmlformats.org/officeDocument/2006/relationships/hyperlink" Target="https://home.solarmanpv.com/login" TargetMode="External"/><Relationship Id="rId6" Type="http://schemas.openxmlformats.org/officeDocument/2006/relationships/hyperlink" Target="https://home.solarmanpv.com/login" TargetMode="External"/><Relationship Id="rId7" Type="http://schemas.openxmlformats.org/officeDocument/2006/relationships/hyperlink" Target="https://home.solarmanpv.com/login" TargetMode="External"/><Relationship Id="rId8" Type="http://schemas.openxmlformats.org/officeDocument/2006/relationships/hyperlink" Target="https://home.solarmanpv.com/login" TargetMode="External"/><Relationship Id="rId73" Type="http://schemas.openxmlformats.org/officeDocument/2006/relationships/hyperlink" Target="https://home.solarmanpv.com/login" TargetMode="External"/><Relationship Id="rId72" Type="http://schemas.openxmlformats.org/officeDocument/2006/relationships/hyperlink" Target="https://home.solarmanpv.com/login" TargetMode="External"/><Relationship Id="rId75" Type="http://schemas.openxmlformats.org/officeDocument/2006/relationships/hyperlink" Target="https://home.solarmanpv.com/login" TargetMode="External"/><Relationship Id="rId74" Type="http://schemas.openxmlformats.org/officeDocument/2006/relationships/hyperlink" Target="https://home.solarmanpv.com/login" TargetMode="External"/><Relationship Id="rId77" Type="http://schemas.openxmlformats.org/officeDocument/2006/relationships/hyperlink" Target="https://home.solarmanpv.com/login" TargetMode="External"/><Relationship Id="rId76" Type="http://schemas.openxmlformats.org/officeDocument/2006/relationships/hyperlink" Target="https://home.solarmanpv.com/login" TargetMode="External"/><Relationship Id="rId79" Type="http://schemas.openxmlformats.org/officeDocument/2006/relationships/hyperlink" Target="https://home.solarmanpv.com/login" TargetMode="External"/><Relationship Id="rId78" Type="http://schemas.openxmlformats.org/officeDocument/2006/relationships/hyperlink" Target="https://home.solarmanpv.com/login" TargetMode="External"/><Relationship Id="rId71" Type="http://schemas.openxmlformats.org/officeDocument/2006/relationships/hyperlink" Target="https://home.solarmanpv.com/login" TargetMode="External"/><Relationship Id="rId70" Type="http://schemas.openxmlformats.org/officeDocument/2006/relationships/hyperlink" Target="https://home.solarmanpv.com/login" TargetMode="External"/><Relationship Id="rId62" Type="http://schemas.openxmlformats.org/officeDocument/2006/relationships/hyperlink" Target="https://home.solarmanpv.com/login" TargetMode="External"/><Relationship Id="rId61" Type="http://schemas.openxmlformats.org/officeDocument/2006/relationships/hyperlink" Target="https://home.solarmanpv.com/login" TargetMode="External"/><Relationship Id="rId64" Type="http://schemas.openxmlformats.org/officeDocument/2006/relationships/hyperlink" Target="https://home.solarmanpv.com/login" TargetMode="External"/><Relationship Id="rId63" Type="http://schemas.openxmlformats.org/officeDocument/2006/relationships/hyperlink" Target="https://home.solarmanpv.com/login" TargetMode="External"/><Relationship Id="rId66" Type="http://schemas.openxmlformats.org/officeDocument/2006/relationships/hyperlink" Target="https://home.solarmanpv.com/login" TargetMode="External"/><Relationship Id="rId65" Type="http://schemas.openxmlformats.org/officeDocument/2006/relationships/hyperlink" Target="https://home.solarmanpv.com/login" TargetMode="External"/><Relationship Id="rId68" Type="http://schemas.openxmlformats.org/officeDocument/2006/relationships/hyperlink" Target="https://home.solarmanpv.com/login" TargetMode="External"/><Relationship Id="rId67" Type="http://schemas.openxmlformats.org/officeDocument/2006/relationships/hyperlink" Target="https://home.solarmanpv.com/login" TargetMode="External"/><Relationship Id="rId60" Type="http://schemas.openxmlformats.org/officeDocument/2006/relationships/hyperlink" Target="https://home.solarmanpv.com/login" TargetMode="External"/><Relationship Id="rId69" Type="http://schemas.openxmlformats.org/officeDocument/2006/relationships/hyperlink" Target="https://home.solarmanpv.com/login" TargetMode="External"/><Relationship Id="rId51" Type="http://schemas.openxmlformats.org/officeDocument/2006/relationships/hyperlink" Target="https://home.solarmanpv.com/login" TargetMode="External"/><Relationship Id="rId50" Type="http://schemas.openxmlformats.org/officeDocument/2006/relationships/hyperlink" Target="https://home.solarmanpv.com/login" TargetMode="External"/><Relationship Id="rId53" Type="http://schemas.openxmlformats.org/officeDocument/2006/relationships/hyperlink" Target="https://home.solarmanpv.com/login" TargetMode="External"/><Relationship Id="rId52" Type="http://schemas.openxmlformats.org/officeDocument/2006/relationships/hyperlink" Target="https://home.solarmanpv.com/login" TargetMode="External"/><Relationship Id="rId55" Type="http://schemas.openxmlformats.org/officeDocument/2006/relationships/hyperlink" Target="https://home.solarmanpv.com/login" TargetMode="External"/><Relationship Id="rId54" Type="http://schemas.openxmlformats.org/officeDocument/2006/relationships/hyperlink" Target="https://home.solarmanpv.com/login" TargetMode="External"/><Relationship Id="rId57" Type="http://schemas.openxmlformats.org/officeDocument/2006/relationships/hyperlink" Target="https://home.solarmanpv.com/login" TargetMode="External"/><Relationship Id="rId56" Type="http://schemas.openxmlformats.org/officeDocument/2006/relationships/hyperlink" Target="https://home.solarmanpv.com/login" TargetMode="External"/><Relationship Id="rId59" Type="http://schemas.openxmlformats.org/officeDocument/2006/relationships/hyperlink" Target="https://home.solarmanpv.com/login" TargetMode="External"/><Relationship Id="rId58" Type="http://schemas.openxmlformats.org/officeDocument/2006/relationships/hyperlink" Target="https://home.solarmanpv.com/logi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8.13"/>
    <col customWidth="1" min="3" max="3" width="6.75"/>
    <col customWidth="1" min="4" max="4" width="19.5"/>
    <col customWidth="1" min="5" max="5" width="81.38"/>
    <col customWidth="1" min="6" max="6" width="24.63"/>
    <col customWidth="1" min="7" max="7" width="20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6" t="s">
        <v>8</v>
      </c>
      <c r="C2" s="7">
        <v>50.0</v>
      </c>
      <c r="D2" s="8" t="s">
        <v>9</v>
      </c>
      <c r="E2" s="7" t="s">
        <v>10</v>
      </c>
      <c r="F2" s="9"/>
      <c r="G2" s="10">
        <v>2022.0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1">
        <v>2.0</v>
      </c>
      <c r="B3" s="11" t="s">
        <v>11</v>
      </c>
      <c r="C3" s="12">
        <v>9.9</v>
      </c>
      <c r="D3" s="13" t="s">
        <v>9</v>
      </c>
      <c r="E3" s="12" t="s">
        <v>12</v>
      </c>
      <c r="F3" s="9"/>
      <c r="G3" s="10">
        <v>2023.0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4">
        <v>3.0</v>
      </c>
      <c r="B4" s="6" t="s">
        <v>13</v>
      </c>
      <c r="C4" s="15"/>
      <c r="D4" s="8" t="s">
        <v>9</v>
      </c>
      <c r="E4" s="7" t="s">
        <v>14</v>
      </c>
      <c r="F4" s="9"/>
      <c r="G4" s="10">
        <v>2024.0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6">
        <v>4.0</v>
      </c>
      <c r="B5" s="11" t="s">
        <v>15</v>
      </c>
      <c r="C5" s="12">
        <v>2.0</v>
      </c>
      <c r="D5" s="13" t="s">
        <v>9</v>
      </c>
      <c r="E5" s="12" t="s">
        <v>16</v>
      </c>
      <c r="F5" s="9"/>
      <c r="G5" s="10">
        <v>2024.0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6">
        <v>5.0</v>
      </c>
      <c r="B6" s="11" t="s">
        <v>17</v>
      </c>
      <c r="C6" s="12">
        <v>9.8</v>
      </c>
      <c r="D6" s="13" t="s">
        <v>9</v>
      </c>
      <c r="E6" s="12" t="s">
        <v>18</v>
      </c>
      <c r="F6" s="9"/>
      <c r="G6" s="10">
        <v>2024.0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6">
        <v>6.0</v>
      </c>
      <c r="B7" s="11" t="s">
        <v>19</v>
      </c>
      <c r="C7" s="12">
        <v>2.2</v>
      </c>
      <c r="D7" s="13" t="s">
        <v>9</v>
      </c>
      <c r="E7" s="12" t="s">
        <v>20</v>
      </c>
      <c r="F7" s="9"/>
      <c r="G7" s="10">
        <v>2024.0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6">
        <v>7.0</v>
      </c>
      <c r="B8" s="11" t="s">
        <v>21</v>
      </c>
      <c r="C8" s="12">
        <v>3.3</v>
      </c>
      <c r="D8" s="13" t="s">
        <v>9</v>
      </c>
      <c r="E8" s="12" t="s">
        <v>22</v>
      </c>
      <c r="F8" s="9"/>
      <c r="G8" s="10">
        <v>2024.0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6">
        <v>8.0</v>
      </c>
      <c r="B9" s="11" t="s">
        <v>23</v>
      </c>
      <c r="C9" s="12">
        <v>5.4</v>
      </c>
      <c r="D9" s="13" t="s">
        <v>9</v>
      </c>
      <c r="E9" s="12" t="s">
        <v>24</v>
      </c>
      <c r="F9" s="9"/>
      <c r="G9" s="10">
        <v>2024.0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1">
        <v>9.0</v>
      </c>
      <c r="B10" s="11" t="s">
        <v>25</v>
      </c>
      <c r="C10" s="12">
        <v>25.0</v>
      </c>
      <c r="D10" s="13" t="s">
        <v>9</v>
      </c>
      <c r="E10" s="12" t="s">
        <v>10</v>
      </c>
      <c r="F10" s="9"/>
      <c r="G10" s="10">
        <v>2024.0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6">
        <v>10.0</v>
      </c>
      <c r="B11" s="11" t="s">
        <v>26</v>
      </c>
      <c r="C11" s="12">
        <v>10.0</v>
      </c>
      <c r="D11" s="13" t="s">
        <v>9</v>
      </c>
      <c r="E11" s="12" t="s">
        <v>10</v>
      </c>
      <c r="F11" s="9"/>
      <c r="G11" s="10">
        <v>2024.0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6">
        <v>11.0</v>
      </c>
      <c r="B12" s="17" t="s">
        <v>27</v>
      </c>
      <c r="C12" s="12">
        <v>7.0</v>
      </c>
      <c r="D12" s="13" t="s">
        <v>9</v>
      </c>
      <c r="E12" s="12" t="s">
        <v>28</v>
      </c>
      <c r="F12" s="9"/>
      <c r="G12" s="10">
        <v>2024.0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6">
        <v>12.0</v>
      </c>
      <c r="B13" s="11" t="s">
        <v>29</v>
      </c>
      <c r="C13" s="12">
        <v>4.32</v>
      </c>
      <c r="D13" s="13" t="s">
        <v>9</v>
      </c>
      <c r="E13" s="12" t="s">
        <v>20</v>
      </c>
      <c r="F13" s="9"/>
      <c r="G13" s="10">
        <v>2024.0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1">
        <v>13.0</v>
      </c>
      <c r="B14" s="11" t="s">
        <v>30</v>
      </c>
      <c r="C14" s="12">
        <v>10.0</v>
      </c>
      <c r="D14" s="13" t="s">
        <v>9</v>
      </c>
      <c r="E14" s="12" t="s">
        <v>31</v>
      </c>
      <c r="F14" s="9"/>
      <c r="G14" s="10">
        <v>2024.0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4">
        <v>14.0</v>
      </c>
      <c r="B15" s="11" t="s">
        <v>32</v>
      </c>
      <c r="C15" s="12">
        <v>20.0</v>
      </c>
      <c r="D15" s="13" t="s">
        <v>9</v>
      </c>
      <c r="E15" s="12" t="s">
        <v>33</v>
      </c>
      <c r="F15" s="9"/>
      <c r="G15" s="10">
        <v>2024.0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6">
        <v>15.0</v>
      </c>
      <c r="B16" s="11" t="s">
        <v>34</v>
      </c>
      <c r="C16" s="12">
        <v>4.69</v>
      </c>
      <c r="D16" s="13" t="s">
        <v>9</v>
      </c>
      <c r="E16" s="12" t="s">
        <v>16</v>
      </c>
      <c r="F16" s="9"/>
      <c r="G16" s="10">
        <v>2024.0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6">
        <v>16.0</v>
      </c>
      <c r="B17" s="11" t="s">
        <v>35</v>
      </c>
      <c r="C17" s="12">
        <v>7.7</v>
      </c>
      <c r="D17" s="13" t="s">
        <v>9</v>
      </c>
      <c r="E17" s="12" t="s">
        <v>36</v>
      </c>
      <c r="F17" s="9"/>
      <c r="G17" s="10">
        <v>2024.0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6">
        <v>17.0</v>
      </c>
      <c r="B18" s="11" t="s">
        <v>37</v>
      </c>
      <c r="C18" s="12">
        <v>25.85</v>
      </c>
      <c r="D18" s="13" t="s">
        <v>9</v>
      </c>
      <c r="E18" s="12" t="s">
        <v>38</v>
      </c>
      <c r="F18" s="9"/>
      <c r="G18" s="10">
        <v>2024.0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6">
        <v>18.0</v>
      </c>
      <c r="B19" s="11" t="s">
        <v>39</v>
      </c>
      <c r="C19" s="12">
        <v>6.6</v>
      </c>
      <c r="D19" s="13" t="s">
        <v>9</v>
      </c>
      <c r="E19" s="12" t="s">
        <v>40</v>
      </c>
      <c r="F19" s="9"/>
      <c r="G19" s="10">
        <v>2024.0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6">
        <v>19.0</v>
      </c>
      <c r="B20" s="11" t="s">
        <v>41</v>
      </c>
      <c r="C20" s="12">
        <v>3.2</v>
      </c>
      <c r="D20" s="13" t="s">
        <v>9</v>
      </c>
      <c r="E20" s="12" t="s">
        <v>42</v>
      </c>
      <c r="F20" s="9"/>
      <c r="G20" s="10">
        <v>2024.0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11">
        <v>20.0</v>
      </c>
      <c r="B21" s="11" t="s">
        <v>43</v>
      </c>
      <c r="C21" s="12">
        <v>4.0</v>
      </c>
      <c r="D21" s="13" t="s">
        <v>9</v>
      </c>
      <c r="E21" s="12" t="s">
        <v>44</v>
      </c>
      <c r="F21" s="9"/>
      <c r="G21" s="10">
        <v>2024.0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6">
        <v>21.0</v>
      </c>
      <c r="B22" s="11" t="s">
        <v>45</v>
      </c>
      <c r="C22" s="12">
        <v>60.0</v>
      </c>
      <c r="D22" s="13" t="s">
        <v>9</v>
      </c>
      <c r="E22" s="12" t="s">
        <v>46</v>
      </c>
      <c r="F22" s="9"/>
      <c r="G22" s="10">
        <v>2024.0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6">
        <v>22.0</v>
      </c>
      <c r="B23" s="11" t="s">
        <v>47</v>
      </c>
      <c r="C23" s="12">
        <v>81.0</v>
      </c>
      <c r="D23" s="13" t="s">
        <v>9</v>
      </c>
      <c r="E23" s="12" t="s">
        <v>36</v>
      </c>
      <c r="F23" s="9"/>
      <c r="G23" s="10">
        <v>2024.0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6">
        <v>23.0</v>
      </c>
      <c r="B24" s="11" t="s">
        <v>48</v>
      </c>
      <c r="C24" s="12">
        <v>9.9</v>
      </c>
      <c r="D24" s="13" t="s">
        <v>9</v>
      </c>
      <c r="E24" s="12" t="s">
        <v>36</v>
      </c>
      <c r="F24" s="9"/>
      <c r="G24" s="10">
        <v>2024.0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11">
        <v>24.0</v>
      </c>
      <c r="B25" s="11" t="s">
        <v>49</v>
      </c>
      <c r="C25" s="12">
        <v>82.0</v>
      </c>
      <c r="D25" s="13" t="s">
        <v>9</v>
      </c>
      <c r="E25" s="12" t="s">
        <v>50</v>
      </c>
      <c r="F25" s="9"/>
      <c r="G25" s="10">
        <v>2024.0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4">
        <v>25.0</v>
      </c>
      <c r="B26" s="17" t="s">
        <v>51</v>
      </c>
      <c r="C26" s="12">
        <v>240.0</v>
      </c>
      <c r="D26" s="13" t="s">
        <v>9</v>
      </c>
      <c r="E26" s="12" t="s">
        <v>52</v>
      </c>
      <c r="F26" s="9"/>
      <c r="G26" s="10">
        <v>2024.0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6">
        <v>26.0</v>
      </c>
      <c r="B27" s="17" t="s">
        <v>53</v>
      </c>
      <c r="C27" s="12">
        <v>95.6</v>
      </c>
      <c r="D27" s="13" t="s">
        <v>9</v>
      </c>
      <c r="E27" s="12" t="s">
        <v>54</v>
      </c>
      <c r="F27" s="9"/>
      <c r="G27" s="10">
        <v>2024.0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6">
        <v>27.0</v>
      </c>
      <c r="B28" s="11" t="s">
        <v>55</v>
      </c>
      <c r="C28" s="12">
        <v>20.0</v>
      </c>
      <c r="D28" s="18" t="s">
        <v>56</v>
      </c>
      <c r="E28" s="12" t="s">
        <v>57</v>
      </c>
      <c r="F28" s="9"/>
      <c r="G28" s="10">
        <v>2024.0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6">
        <v>28.0</v>
      </c>
      <c r="B29" s="6" t="s">
        <v>58</v>
      </c>
      <c r="C29" s="7">
        <v>6.0</v>
      </c>
      <c r="D29" s="8" t="s">
        <v>9</v>
      </c>
      <c r="E29" s="7" t="s">
        <v>59</v>
      </c>
      <c r="F29" s="9"/>
      <c r="G29" s="10">
        <v>2024.0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6">
        <v>29.0</v>
      </c>
      <c r="B30" s="19" t="s">
        <v>60</v>
      </c>
      <c r="C30" s="7">
        <v>75.0</v>
      </c>
      <c r="D30" s="20" t="s">
        <v>9</v>
      </c>
      <c r="E30" s="7" t="s">
        <v>61</v>
      </c>
      <c r="F30" s="9"/>
      <c r="G30" s="10">
        <v>2024.0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6">
        <v>30.0</v>
      </c>
      <c r="B31" s="11" t="s">
        <v>62</v>
      </c>
      <c r="C31" s="12">
        <v>19.0</v>
      </c>
      <c r="D31" s="18" t="s">
        <v>56</v>
      </c>
      <c r="E31" s="12" t="s">
        <v>63</v>
      </c>
      <c r="F31" s="9"/>
      <c r="G31" s="10">
        <v>2024.0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1">
        <v>31.0</v>
      </c>
      <c r="B32" s="21" t="s">
        <v>64</v>
      </c>
      <c r="C32" s="7">
        <v>42.0</v>
      </c>
      <c r="D32" s="22" t="s">
        <v>56</v>
      </c>
      <c r="E32" s="7" t="s">
        <v>65</v>
      </c>
      <c r="F32" s="9"/>
      <c r="G32" s="10">
        <v>2024.0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6">
        <v>32.0</v>
      </c>
      <c r="B33" s="19" t="s">
        <v>66</v>
      </c>
      <c r="C33" s="7">
        <v>64.0</v>
      </c>
      <c r="D33" s="22" t="s">
        <v>67</v>
      </c>
      <c r="E33" s="7" t="s">
        <v>68</v>
      </c>
      <c r="F33" s="9"/>
      <c r="G33" s="10">
        <v>2024.0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6">
        <v>33.0</v>
      </c>
      <c r="B34" s="11" t="s">
        <v>69</v>
      </c>
      <c r="C34" s="12">
        <v>5.0</v>
      </c>
      <c r="D34" s="13" t="s">
        <v>9</v>
      </c>
      <c r="E34" s="12" t="s">
        <v>24</v>
      </c>
      <c r="F34" s="9"/>
      <c r="G34" s="10">
        <v>2024.0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6">
        <v>34.0</v>
      </c>
      <c r="B35" s="17" t="s">
        <v>70</v>
      </c>
      <c r="C35" s="12">
        <v>4.0</v>
      </c>
      <c r="D35" s="13" t="s">
        <v>9</v>
      </c>
      <c r="E35" s="12" t="s">
        <v>14</v>
      </c>
      <c r="F35" s="9"/>
      <c r="G35" s="10">
        <v>2024.0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11">
        <v>35.0</v>
      </c>
      <c r="B36" s="11" t="s">
        <v>71</v>
      </c>
      <c r="C36" s="12">
        <v>3.3</v>
      </c>
      <c r="D36" s="13" t="s">
        <v>9</v>
      </c>
      <c r="E36" s="12" t="s">
        <v>20</v>
      </c>
      <c r="F36" s="9"/>
      <c r="G36" s="10">
        <v>2024.0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14">
        <v>36.0</v>
      </c>
      <c r="B37" s="11" t="s">
        <v>72</v>
      </c>
      <c r="C37" s="12">
        <v>5.5</v>
      </c>
      <c r="D37" s="13" t="s">
        <v>9</v>
      </c>
      <c r="E37" s="12" t="s">
        <v>73</v>
      </c>
      <c r="F37" s="9"/>
      <c r="G37" s="10">
        <v>2024.0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16">
        <v>37.0</v>
      </c>
      <c r="B38" s="11" t="s">
        <v>74</v>
      </c>
      <c r="C38" s="12">
        <v>2.2</v>
      </c>
      <c r="D38" s="13" t="s">
        <v>9</v>
      </c>
      <c r="E38" s="12" t="s">
        <v>75</v>
      </c>
      <c r="F38" s="9"/>
      <c r="G38" s="10">
        <v>2024.0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16">
        <v>38.0</v>
      </c>
      <c r="B39" s="11" t="s">
        <v>76</v>
      </c>
      <c r="C39" s="12">
        <v>3.4</v>
      </c>
      <c r="D39" s="13" t="s">
        <v>9</v>
      </c>
      <c r="E39" s="12" t="s">
        <v>77</v>
      </c>
      <c r="F39" s="9"/>
      <c r="G39" s="10">
        <v>2024.0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16">
        <v>39.0</v>
      </c>
      <c r="B40" s="11" t="s">
        <v>78</v>
      </c>
      <c r="C40" s="12">
        <v>2.0</v>
      </c>
      <c r="D40" s="13" t="s">
        <v>9</v>
      </c>
      <c r="E40" s="12" t="s">
        <v>73</v>
      </c>
      <c r="F40" s="9"/>
      <c r="G40" s="10">
        <v>2024.0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16">
        <v>40.0</v>
      </c>
      <c r="B41" s="11" t="s">
        <v>79</v>
      </c>
      <c r="C41" s="12">
        <v>2.0</v>
      </c>
      <c r="D41" s="13" t="s">
        <v>9</v>
      </c>
      <c r="E41" s="12" t="s">
        <v>80</v>
      </c>
      <c r="F41" s="9"/>
      <c r="G41" s="10">
        <v>2024.0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6">
        <v>41.0</v>
      </c>
      <c r="B42" s="11" t="s">
        <v>81</v>
      </c>
      <c r="C42" s="12">
        <v>4.0</v>
      </c>
      <c r="D42" s="13" t="s">
        <v>9</v>
      </c>
      <c r="E42" s="12" t="s">
        <v>82</v>
      </c>
      <c r="F42" s="9"/>
      <c r="G42" s="10">
        <v>2024.0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11">
        <v>42.0</v>
      </c>
      <c r="B43" s="17" t="s">
        <v>83</v>
      </c>
      <c r="C43" s="12">
        <v>44.0</v>
      </c>
      <c r="D43" s="13" t="s">
        <v>9</v>
      </c>
      <c r="E43" s="12" t="s">
        <v>38</v>
      </c>
      <c r="F43" s="9"/>
      <c r="G43" s="10">
        <v>2024.0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6">
        <v>43.0</v>
      </c>
      <c r="B44" s="11" t="s">
        <v>84</v>
      </c>
      <c r="C44" s="12">
        <v>3.2</v>
      </c>
      <c r="D44" s="13" t="s">
        <v>9</v>
      </c>
      <c r="E44" s="12" t="s">
        <v>28</v>
      </c>
      <c r="F44" s="9"/>
      <c r="G44" s="10">
        <v>2024.0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14">
        <v>44.0</v>
      </c>
      <c r="B45" s="19" t="s">
        <v>85</v>
      </c>
      <c r="C45" s="23">
        <v>135.0</v>
      </c>
      <c r="D45" s="20" t="s">
        <v>86</v>
      </c>
      <c r="E45" s="7" t="s">
        <v>87</v>
      </c>
      <c r="F45" s="24" t="s">
        <v>88</v>
      </c>
      <c r="G45" s="10">
        <v>2024.0</v>
      </c>
      <c r="H45" s="25" t="s">
        <v>89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6">
        <v>45.0</v>
      </c>
      <c r="B46" s="17" t="s">
        <v>90</v>
      </c>
      <c r="C46" s="15">
        <v>13.5</v>
      </c>
      <c r="D46" s="13" t="s">
        <v>9</v>
      </c>
      <c r="E46" s="12" t="s">
        <v>16</v>
      </c>
      <c r="F46" s="9"/>
      <c r="G46" s="10">
        <v>2024.0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11">
        <v>46.0</v>
      </c>
      <c r="B47" s="17" t="s">
        <v>91</v>
      </c>
      <c r="C47" s="12">
        <v>36.0</v>
      </c>
      <c r="D47" s="13" t="s">
        <v>9</v>
      </c>
      <c r="E47" s="12" t="s">
        <v>92</v>
      </c>
      <c r="F47" s="9"/>
      <c r="G47" s="10">
        <v>2024.0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14">
        <v>47.0</v>
      </c>
      <c r="B48" s="17" t="s">
        <v>93</v>
      </c>
      <c r="C48" s="12">
        <v>9.9</v>
      </c>
      <c r="D48" s="13" t="s">
        <v>9</v>
      </c>
      <c r="E48" s="12" t="s">
        <v>94</v>
      </c>
      <c r="F48" s="9"/>
      <c r="G48" s="10">
        <v>2024.0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16">
        <v>48.0</v>
      </c>
      <c r="B49" s="17" t="s">
        <v>95</v>
      </c>
      <c r="C49" s="12">
        <v>9.9</v>
      </c>
      <c r="D49" s="13" t="s">
        <v>9</v>
      </c>
      <c r="E49" s="12" t="s">
        <v>96</v>
      </c>
      <c r="F49" s="9"/>
      <c r="G49" s="10">
        <v>2024.0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16">
        <v>49.0</v>
      </c>
      <c r="B50" s="11" t="s">
        <v>97</v>
      </c>
      <c r="C50" s="12">
        <v>5.0</v>
      </c>
      <c r="D50" s="13" t="s">
        <v>9</v>
      </c>
      <c r="E50" s="12" t="s">
        <v>98</v>
      </c>
      <c r="F50" s="9"/>
      <c r="G50" s="10">
        <v>2024.0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16">
        <v>50.0</v>
      </c>
      <c r="B51" s="11" t="s">
        <v>99</v>
      </c>
      <c r="C51" s="12">
        <v>3.0</v>
      </c>
      <c r="D51" s="13" t="s">
        <v>9</v>
      </c>
      <c r="E51" s="12" t="s">
        <v>73</v>
      </c>
      <c r="F51" s="9"/>
      <c r="G51" s="10">
        <v>2024.0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16">
        <v>51.0</v>
      </c>
      <c r="B52" s="17" t="s">
        <v>100</v>
      </c>
      <c r="C52" s="12">
        <v>110.0</v>
      </c>
      <c r="D52" s="13" t="s">
        <v>9</v>
      </c>
      <c r="E52" s="12" t="s">
        <v>101</v>
      </c>
      <c r="F52" s="9"/>
      <c r="G52" s="10">
        <v>2024.0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6">
        <v>52.0</v>
      </c>
      <c r="B53" s="17" t="s">
        <v>102</v>
      </c>
      <c r="C53" s="26">
        <v>10.0</v>
      </c>
      <c r="D53" s="13" t="s">
        <v>9</v>
      </c>
      <c r="E53" s="12" t="s">
        <v>103</v>
      </c>
      <c r="F53" s="9"/>
      <c r="G53" s="10">
        <v>2024.0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11">
        <v>53.0</v>
      </c>
      <c r="B54" s="17" t="s">
        <v>104</v>
      </c>
      <c r="C54" s="15">
        <v>20.0</v>
      </c>
      <c r="D54" s="13" t="s">
        <v>9</v>
      </c>
      <c r="E54" s="12" t="s">
        <v>105</v>
      </c>
      <c r="F54" s="9"/>
      <c r="G54" s="10">
        <v>2024.0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16">
        <v>54.0</v>
      </c>
      <c r="B55" s="11" t="s">
        <v>106</v>
      </c>
      <c r="C55" s="12">
        <v>2.0</v>
      </c>
      <c r="D55" s="13" t="s">
        <v>9</v>
      </c>
      <c r="E55" s="12" t="s">
        <v>107</v>
      </c>
      <c r="F55" s="9"/>
      <c r="G55" s="10">
        <v>2024.0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16">
        <v>55.0</v>
      </c>
      <c r="B56" s="11" t="s">
        <v>108</v>
      </c>
      <c r="C56" s="12">
        <v>2.0</v>
      </c>
      <c r="D56" s="13" t="s">
        <v>9</v>
      </c>
      <c r="E56" s="12" t="s">
        <v>109</v>
      </c>
      <c r="F56" s="9"/>
      <c r="G56" s="10">
        <v>2024.0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6">
        <v>56.0</v>
      </c>
      <c r="B57" s="11" t="s">
        <v>110</v>
      </c>
      <c r="C57" s="12">
        <v>3.3</v>
      </c>
      <c r="D57" s="13" t="s">
        <v>9</v>
      </c>
      <c r="E57" s="12" t="s">
        <v>44</v>
      </c>
      <c r="F57" s="9"/>
      <c r="G57" s="10">
        <v>2024.0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11">
        <v>57.0</v>
      </c>
      <c r="B58" s="11" t="s">
        <v>111</v>
      </c>
      <c r="C58" s="12">
        <v>3.5</v>
      </c>
      <c r="D58" s="13" t="s">
        <v>9</v>
      </c>
      <c r="E58" s="12" t="s">
        <v>109</v>
      </c>
      <c r="F58" s="9"/>
      <c r="G58" s="10">
        <v>2024.0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14">
        <v>58.0</v>
      </c>
      <c r="B59" s="11" t="s">
        <v>112</v>
      </c>
      <c r="C59" s="12">
        <v>2.0</v>
      </c>
      <c r="D59" s="13" t="s">
        <v>9</v>
      </c>
      <c r="E59" s="12" t="s">
        <v>22</v>
      </c>
      <c r="F59" s="9"/>
      <c r="G59" s="10">
        <v>2024.0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16">
        <v>59.0</v>
      </c>
      <c r="B60" s="11" t="s">
        <v>113</v>
      </c>
      <c r="C60" s="12">
        <v>2.0</v>
      </c>
      <c r="D60" s="13" t="s">
        <v>9</v>
      </c>
      <c r="E60" s="12" t="s">
        <v>16</v>
      </c>
      <c r="F60" s="9"/>
      <c r="G60" s="10">
        <v>2024.0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16">
        <v>60.0</v>
      </c>
      <c r="B61" s="11" t="s">
        <v>114</v>
      </c>
      <c r="C61" s="12">
        <v>5.0</v>
      </c>
      <c r="D61" s="13" t="s">
        <v>9</v>
      </c>
      <c r="E61" s="12" t="s">
        <v>20</v>
      </c>
      <c r="F61" s="9"/>
      <c r="G61" s="10">
        <v>2024.0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16">
        <v>61.0</v>
      </c>
      <c r="B62" s="6" t="s">
        <v>115</v>
      </c>
      <c r="C62" s="7">
        <v>8.8</v>
      </c>
      <c r="D62" s="8" t="s">
        <v>9</v>
      </c>
      <c r="E62" s="7" t="s">
        <v>116</v>
      </c>
      <c r="F62" s="9"/>
      <c r="G62" s="10">
        <v>2024.0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16">
        <v>62.0</v>
      </c>
      <c r="B63" s="11" t="s">
        <v>117</v>
      </c>
      <c r="C63" s="12">
        <v>5.9</v>
      </c>
      <c r="D63" s="13" t="s">
        <v>9</v>
      </c>
      <c r="E63" s="12" t="s">
        <v>118</v>
      </c>
      <c r="F63" s="9"/>
      <c r="G63" s="10">
        <v>2024.0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6">
        <v>63.0</v>
      </c>
      <c r="B64" s="11" t="s">
        <v>119</v>
      </c>
      <c r="C64" s="12">
        <v>3.3</v>
      </c>
      <c r="D64" s="13" t="s">
        <v>9</v>
      </c>
      <c r="E64" s="12" t="s">
        <v>120</v>
      </c>
      <c r="F64" s="9"/>
      <c r="G64" s="10">
        <v>2024.0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11">
        <v>64.0</v>
      </c>
      <c r="B65" s="11" t="s">
        <v>121</v>
      </c>
      <c r="C65" s="12">
        <v>2.7</v>
      </c>
      <c r="D65" s="13" t="s">
        <v>9</v>
      </c>
      <c r="E65" s="12" t="s">
        <v>44</v>
      </c>
      <c r="F65" s="9"/>
      <c r="G65" s="10">
        <v>2024.0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16">
        <v>65.0</v>
      </c>
      <c r="B66" s="6" t="s">
        <v>122</v>
      </c>
      <c r="C66" s="7">
        <v>29.0</v>
      </c>
      <c r="D66" s="22" t="s">
        <v>123</v>
      </c>
      <c r="E66" s="7" t="s">
        <v>124</v>
      </c>
      <c r="F66" s="9"/>
      <c r="G66" s="10">
        <v>2024.0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16">
        <v>66.0</v>
      </c>
      <c r="B67" s="17" t="s">
        <v>125</v>
      </c>
      <c r="C67" s="12">
        <v>3.3</v>
      </c>
      <c r="D67" s="13" t="s">
        <v>9</v>
      </c>
      <c r="E67" s="12" t="s">
        <v>126</v>
      </c>
      <c r="F67" s="9"/>
      <c r="G67" s="10">
        <v>2024.0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6">
        <v>67.0</v>
      </c>
      <c r="B68" s="6" t="s">
        <v>127</v>
      </c>
      <c r="C68" s="7">
        <v>3.3</v>
      </c>
      <c r="D68" s="8" t="s">
        <v>9</v>
      </c>
      <c r="E68" s="7" t="s">
        <v>128</v>
      </c>
      <c r="F68" s="9"/>
      <c r="G68" s="10">
        <v>2024.0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11">
        <v>68.0</v>
      </c>
      <c r="B69" s="17" t="s">
        <v>129</v>
      </c>
      <c r="C69" s="12">
        <v>7.0</v>
      </c>
      <c r="D69" s="13" t="s">
        <v>9</v>
      </c>
      <c r="E69" s="12" t="s">
        <v>63</v>
      </c>
      <c r="F69" s="9"/>
      <c r="G69" s="10">
        <v>2024.0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14">
        <v>69.0</v>
      </c>
      <c r="B70" s="11" t="s">
        <v>130</v>
      </c>
      <c r="C70" s="12">
        <v>4.0</v>
      </c>
      <c r="D70" s="13" t="s">
        <v>9</v>
      </c>
      <c r="E70" s="12" t="s">
        <v>131</v>
      </c>
      <c r="F70" s="9"/>
      <c r="G70" s="10">
        <v>2024.0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16">
        <v>70.0</v>
      </c>
      <c r="B71" s="17" t="s">
        <v>132</v>
      </c>
      <c r="C71" s="15">
        <v>13.5</v>
      </c>
      <c r="D71" s="13" t="s">
        <v>9</v>
      </c>
      <c r="E71" s="12" t="s">
        <v>133</v>
      </c>
      <c r="F71" s="9"/>
      <c r="G71" s="10">
        <v>2024.0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16">
        <v>71.0</v>
      </c>
      <c r="B72" s="11" t="s">
        <v>134</v>
      </c>
      <c r="C72" s="12">
        <v>3.3</v>
      </c>
      <c r="D72" s="13" t="s">
        <v>9</v>
      </c>
      <c r="E72" s="12" t="s">
        <v>75</v>
      </c>
      <c r="F72" s="9"/>
      <c r="G72" s="10">
        <v>2024.0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16">
        <v>72.0</v>
      </c>
      <c r="B73" s="11" t="s">
        <v>135</v>
      </c>
      <c r="C73" s="12">
        <v>8.0</v>
      </c>
      <c r="D73" s="13" t="s">
        <v>9</v>
      </c>
      <c r="E73" s="12" t="s">
        <v>136</v>
      </c>
      <c r="F73" s="9"/>
      <c r="G73" s="10">
        <v>2024.0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16">
        <v>73.0</v>
      </c>
      <c r="B74" s="17" t="s">
        <v>137</v>
      </c>
      <c r="C74" s="15">
        <v>4.4</v>
      </c>
      <c r="D74" s="13" t="s">
        <v>9</v>
      </c>
      <c r="E74" s="12" t="s">
        <v>131</v>
      </c>
      <c r="F74" s="9"/>
      <c r="G74" s="10">
        <v>2024.0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6">
        <v>74.0</v>
      </c>
      <c r="B75" s="27" t="s">
        <v>138</v>
      </c>
      <c r="C75" s="7">
        <v>20.0</v>
      </c>
      <c r="D75" s="28" t="s">
        <v>9</v>
      </c>
      <c r="E75" s="7" t="s">
        <v>139</v>
      </c>
      <c r="F75" s="9"/>
      <c r="G75" s="10">
        <v>2024.0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11">
        <v>75.0</v>
      </c>
      <c r="B76" s="17" t="s">
        <v>140</v>
      </c>
      <c r="C76" s="12">
        <v>2.2</v>
      </c>
      <c r="D76" s="13" t="s">
        <v>9</v>
      </c>
      <c r="E76" s="12" t="s">
        <v>16</v>
      </c>
      <c r="F76" s="9"/>
      <c r="G76" s="10">
        <v>2024.0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16">
        <v>76.0</v>
      </c>
      <c r="B77" s="11" t="s">
        <v>141</v>
      </c>
      <c r="C77" s="12">
        <v>13.2</v>
      </c>
      <c r="D77" s="13" t="s">
        <v>9</v>
      </c>
      <c r="E77" s="12" t="s">
        <v>80</v>
      </c>
      <c r="F77" s="9"/>
      <c r="G77" s="10">
        <v>2024.0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16">
        <v>77.0</v>
      </c>
      <c r="B78" s="11" t="s">
        <v>142</v>
      </c>
      <c r="C78" s="12">
        <v>2.2</v>
      </c>
      <c r="D78" s="13" t="s">
        <v>9</v>
      </c>
      <c r="E78" s="12" t="s">
        <v>143</v>
      </c>
      <c r="F78" s="9"/>
      <c r="G78" s="10">
        <v>2024.0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6">
        <v>78.0</v>
      </c>
      <c r="B79" s="11" t="s">
        <v>144</v>
      </c>
      <c r="C79" s="12">
        <v>5.0</v>
      </c>
      <c r="D79" s="13" t="s">
        <v>9</v>
      </c>
      <c r="E79" s="12" t="s">
        <v>109</v>
      </c>
      <c r="F79" s="9"/>
      <c r="G79" s="10">
        <v>2024.0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11">
        <v>79.0</v>
      </c>
      <c r="B80" s="11" t="s">
        <v>145</v>
      </c>
      <c r="C80" s="12">
        <v>9.0</v>
      </c>
      <c r="D80" s="13" t="s">
        <v>9</v>
      </c>
      <c r="E80" s="12" t="s">
        <v>16</v>
      </c>
      <c r="F80" s="9"/>
      <c r="G80" s="10">
        <v>2024.0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14">
        <v>80.0</v>
      </c>
      <c r="B81" s="11" t="s">
        <v>146</v>
      </c>
      <c r="C81" s="12">
        <v>4.0</v>
      </c>
      <c r="D81" s="13" t="s">
        <v>9</v>
      </c>
      <c r="E81" s="12" t="s">
        <v>147</v>
      </c>
      <c r="F81" s="9"/>
      <c r="G81" s="10">
        <v>2024.0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16">
        <v>81.0</v>
      </c>
      <c r="B82" s="11" t="s">
        <v>148</v>
      </c>
      <c r="C82" s="12">
        <v>5.0</v>
      </c>
      <c r="D82" s="13" t="s">
        <v>9</v>
      </c>
      <c r="E82" s="12" t="s">
        <v>24</v>
      </c>
      <c r="F82" s="9"/>
      <c r="G82" s="10">
        <v>2024.0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16">
        <v>82.0</v>
      </c>
      <c r="B83" s="11" t="s">
        <v>149</v>
      </c>
      <c r="C83" s="12">
        <v>2.0</v>
      </c>
      <c r="D83" s="13" t="s">
        <v>9</v>
      </c>
      <c r="E83" s="12" t="s">
        <v>150</v>
      </c>
      <c r="F83" s="9"/>
      <c r="G83" s="10">
        <v>2024.0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16">
        <v>83.0</v>
      </c>
      <c r="B84" s="11" t="s">
        <v>151</v>
      </c>
      <c r="C84" s="12">
        <v>2.0</v>
      </c>
      <c r="D84" s="13" t="s">
        <v>9</v>
      </c>
      <c r="E84" s="12" t="s">
        <v>152</v>
      </c>
      <c r="F84" s="9"/>
      <c r="G84" s="10">
        <v>2024.0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16">
        <v>84.0</v>
      </c>
      <c r="B85" s="11" t="s">
        <v>153</v>
      </c>
      <c r="C85" s="12">
        <v>5.0</v>
      </c>
      <c r="D85" s="13" t="s">
        <v>9</v>
      </c>
      <c r="E85" s="12" t="s">
        <v>73</v>
      </c>
      <c r="F85" s="9"/>
      <c r="G85" s="10">
        <v>2024.0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6">
        <v>85.0</v>
      </c>
      <c r="B86" s="11" t="s">
        <v>154</v>
      </c>
      <c r="C86" s="12">
        <v>3.2</v>
      </c>
      <c r="D86" s="13" t="s">
        <v>9</v>
      </c>
      <c r="E86" s="12" t="s">
        <v>109</v>
      </c>
      <c r="F86" s="9"/>
      <c r="G86" s="10">
        <v>2024.0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11">
        <v>86.0</v>
      </c>
      <c r="B87" s="11" t="s">
        <v>155</v>
      </c>
      <c r="C87" s="12">
        <v>5.5</v>
      </c>
      <c r="D87" s="13" t="s">
        <v>9</v>
      </c>
      <c r="E87" s="12" t="s">
        <v>65</v>
      </c>
      <c r="F87" s="9"/>
      <c r="G87" s="10">
        <v>2024.0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16">
        <v>87.0</v>
      </c>
      <c r="B88" s="17" t="s">
        <v>156</v>
      </c>
      <c r="C88" s="12">
        <v>5.0</v>
      </c>
      <c r="D88" s="13" t="s">
        <v>9</v>
      </c>
      <c r="E88" s="12" t="s">
        <v>80</v>
      </c>
      <c r="F88" s="9"/>
      <c r="G88" s="10">
        <v>2024.0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16">
        <v>88.0</v>
      </c>
      <c r="B89" s="17" t="s">
        <v>157</v>
      </c>
      <c r="C89" s="12">
        <v>5.0</v>
      </c>
      <c r="D89" s="13" t="s">
        <v>9</v>
      </c>
      <c r="E89" s="12" t="s">
        <v>28</v>
      </c>
      <c r="F89" s="9"/>
      <c r="G89" s="10">
        <v>2024.0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6">
        <v>89.0</v>
      </c>
      <c r="B90" s="11" t="s">
        <v>158</v>
      </c>
      <c r="C90" s="12">
        <v>3.3</v>
      </c>
      <c r="D90" s="13" t="s">
        <v>9</v>
      </c>
      <c r="E90" s="12" t="s">
        <v>109</v>
      </c>
      <c r="F90" s="9"/>
      <c r="G90" s="10">
        <v>2024.0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1">
        <v>90.0</v>
      </c>
      <c r="B91" s="17" t="s">
        <v>159</v>
      </c>
      <c r="C91" s="12">
        <v>5.0</v>
      </c>
      <c r="D91" s="13" t="s">
        <v>9</v>
      </c>
      <c r="E91" s="12" t="s">
        <v>160</v>
      </c>
      <c r="F91" s="9"/>
      <c r="G91" s="10">
        <v>2024.0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4">
        <v>91.0</v>
      </c>
      <c r="B92" s="11" t="s">
        <v>161</v>
      </c>
      <c r="C92" s="12">
        <v>3.3</v>
      </c>
      <c r="D92" s="13" t="s">
        <v>9</v>
      </c>
      <c r="E92" s="12" t="s">
        <v>59</v>
      </c>
      <c r="F92" s="9"/>
      <c r="G92" s="10">
        <v>2024.0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6">
        <v>92.0</v>
      </c>
      <c r="B93" s="11" t="s">
        <v>162</v>
      </c>
      <c r="C93" s="12">
        <v>3.3</v>
      </c>
      <c r="D93" s="13" t="s">
        <v>9</v>
      </c>
      <c r="E93" s="12" t="s">
        <v>59</v>
      </c>
      <c r="F93" s="9"/>
      <c r="G93" s="10">
        <v>2024.0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16">
        <v>93.0</v>
      </c>
      <c r="B94" s="11" t="s">
        <v>163</v>
      </c>
      <c r="C94" s="12">
        <v>3.3</v>
      </c>
      <c r="D94" s="13" t="s">
        <v>9</v>
      </c>
      <c r="E94" s="12" t="s">
        <v>59</v>
      </c>
      <c r="F94" s="9"/>
      <c r="G94" s="10">
        <v>2024.0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16">
        <v>94.0</v>
      </c>
      <c r="B95" s="11" t="s">
        <v>164</v>
      </c>
      <c r="C95" s="12">
        <v>3.3</v>
      </c>
      <c r="D95" s="13" t="s">
        <v>9</v>
      </c>
      <c r="E95" s="12" t="s">
        <v>59</v>
      </c>
      <c r="F95" s="9"/>
      <c r="G95" s="10">
        <v>2024.0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16">
        <v>95.0</v>
      </c>
      <c r="B96" s="11" t="s">
        <v>165</v>
      </c>
      <c r="C96" s="12">
        <v>3.3</v>
      </c>
      <c r="D96" s="13" t="s">
        <v>9</v>
      </c>
      <c r="E96" s="12" t="s">
        <v>59</v>
      </c>
      <c r="F96" s="9"/>
      <c r="G96" s="10">
        <v>2024.0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6">
        <v>96.0</v>
      </c>
      <c r="B97" s="17" t="s">
        <v>166</v>
      </c>
      <c r="C97" s="12">
        <v>10.0</v>
      </c>
      <c r="D97" s="13" t="s">
        <v>9</v>
      </c>
      <c r="E97" s="12" t="s">
        <v>59</v>
      </c>
      <c r="F97" s="9"/>
      <c r="G97" s="10">
        <v>2024.0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11">
        <v>97.0</v>
      </c>
      <c r="B98" s="17" t="s">
        <v>167</v>
      </c>
      <c r="C98" s="12">
        <v>20.0</v>
      </c>
      <c r="D98" s="13" t="s">
        <v>9</v>
      </c>
      <c r="E98" s="12"/>
      <c r="F98" s="9"/>
      <c r="G98" s="10">
        <v>2024.0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16">
        <v>98.0</v>
      </c>
      <c r="B99" s="17" t="s">
        <v>168</v>
      </c>
      <c r="C99" s="12">
        <v>250.0</v>
      </c>
      <c r="D99" s="13" t="s">
        <v>9</v>
      </c>
      <c r="E99" s="12" t="s">
        <v>116</v>
      </c>
      <c r="F99" s="9"/>
      <c r="G99" s="10">
        <v>2024.0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6">
        <v>99.0</v>
      </c>
      <c r="B100" s="17" t="s">
        <v>169</v>
      </c>
      <c r="C100" s="12">
        <v>3.3</v>
      </c>
      <c r="D100" s="13" t="s">
        <v>9</v>
      </c>
      <c r="E100" s="12" t="s">
        <v>24</v>
      </c>
      <c r="F100" s="9"/>
      <c r="G100" s="10">
        <v>2024.0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6">
        <v>100.0</v>
      </c>
      <c r="B101" s="11" t="s">
        <v>170</v>
      </c>
      <c r="C101" s="12">
        <v>2.0</v>
      </c>
      <c r="D101" s="13" t="s">
        <v>9</v>
      </c>
      <c r="E101" s="12" t="s">
        <v>42</v>
      </c>
      <c r="F101" s="9"/>
      <c r="G101" s="10">
        <v>2024.0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6">
        <v>101.0</v>
      </c>
      <c r="B102" s="19" t="s">
        <v>171</v>
      </c>
      <c r="C102" s="7">
        <v>30.0</v>
      </c>
      <c r="D102" s="22" t="s">
        <v>172</v>
      </c>
      <c r="E102" s="7" t="s">
        <v>173</v>
      </c>
      <c r="F102" s="24" t="s">
        <v>174</v>
      </c>
      <c r="G102" s="10">
        <v>2024.0</v>
      </c>
      <c r="H102" s="25" t="s">
        <v>89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4">
        <v>102.0</v>
      </c>
      <c r="B103" s="11" t="s">
        <v>175</v>
      </c>
      <c r="C103" s="29">
        <v>5.0</v>
      </c>
      <c r="D103" s="13" t="s">
        <v>9</v>
      </c>
      <c r="E103" s="12" t="s">
        <v>176</v>
      </c>
      <c r="F103" s="9"/>
      <c r="G103" s="10">
        <v>2024.0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6">
        <v>103.0</v>
      </c>
      <c r="B104" s="11" t="s">
        <v>177</v>
      </c>
      <c r="C104" s="15">
        <v>3.0</v>
      </c>
      <c r="D104" s="13" t="s">
        <v>9</v>
      </c>
      <c r="E104" s="12" t="s">
        <v>178</v>
      </c>
      <c r="F104" s="9"/>
      <c r="G104" s="10">
        <v>2024.0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6">
        <v>104.0</v>
      </c>
      <c r="B105" s="17" t="s">
        <v>179</v>
      </c>
      <c r="C105" s="15">
        <v>4.4</v>
      </c>
      <c r="D105" s="13" t="s">
        <v>9</v>
      </c>
      <c r="E105" s="12" t="s">
        <v>180</v>
      </c>
      <c r="F105" s="9"/>
      <c r="G105" s="10">
        <v>2024.0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6">
        <v>105.0</v>
      </c>
      <c r="B106" s="30" t="s">
        <v>181</v>
      </c>
      <c r="C106" s="23">
        <v>5.0</v>
      </c>
      <c r="D106" s="28" t="s">
        <v>9</v>
      </c>
      <c r="E106" s="7" t="s">
        <v>80</v>
      </c>
      <c r="F106" s="9"/>
      <c r="G106" s="10">
        <v>2024.0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4">
        <v>106.0</v>
      </c>
      <c r="B107" s="30" t="s">
        <v>182</v>
      </c>
      <c r="C107" s="23">
        <v>5.0</v>
      </c>
      <c r="D107" s="22" t="s">
        <v>9</v>
      </c>
      <c r="E107" s="7" t="s">
        <v>80</v>
      </c>
      <c r="F107" s="9"/>
      <c r="G107" s="10">
        <v>2024.0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6">
        <v>107.0</v>
      </c>
      <c r="B108" s="31" t="s">
        <v>183</v>
      </c>
      <c r="C108" s="15">
        <v>5.0</v>
      </c>
      <c r="D108" s="18" t="s">
        <v>56</v>
      </c>
      <c r="E108" s="12" t="s">
        <v>80</v>
      </c>
      <c r="F108" s="9"/>
      <c r="G108" s="10">
        <v>2024.0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6">
        <v>108.0</v>
      </c>
      <c r="B109" s="32" t="s">
        <v>184</v>
      </c>
      <c r="C109" s="23">
        <v>5.0</v>
      </c>
      <c r="D109" s="28" t="s">
        <v>9</v>
      </c>
      <c r="E109" s="7" t="s">
        <v>185</v>
      </c>
      <c r="F109" s="9"/>
      <c r="G109" s="10">
        <v>2024.0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6">
        <v>109.0</v>
      </c>
      <c r="B110" s="31" t="s">
        <v>186</v>
      </c>
      <c r="C110" s="15">
        <v>10.0</v>
      </c>
      <c r="D110" s="13" t="s">
        <v>9</v>
      </c>
      <c r="E110" s="12" t="s">
        <v>187</v>
      </c>
      <c r="F110" s="9"/>
      <c r="G110" s="10">
        <v>2024.0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6">
        <v>110.0</v>
      </c>
      <c r="B111" s="31" t="s">
        <v>188</v>
      </c>
      <c r="C111" s="15">
        <v>3.3</v>
      </c>
      <c r="D111" s="13" t="s">
        <v>9</v>
      </c>
      <c r="E111" s="12" t="s">
        <v>16</v>
      </c>
      <c r="F111" s="9"/>
      <c r="G111" s="10">
        <v>2024.0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6">
        <v>111.0</v>
      </c>
      <c r="B112" s="31" t="s">
        <v>189</v>
      </c>
      <c r="C112" s="15">
        <v>7.0</v>
      </c>
      <c r="D112" s="13" t="s">
        <v>9</v>
      </c>
      <c r="E112" s="12" t="s">
        <v>14</v>
      </c>
      <c r="F112" s="9"/>
      <c r="G112" s="10">
        <v>2024.0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1">
        <v>112.0</v>
      </c>
      <c r="B113" s="31" t="s">
        <v>190</v>
      </c>
      <c r="C113" s="15">
        <v>3.3</v>
      </c>
      <c r="D113" s="13" t="s">
        <v>9</v>
      </c>
      <c r="E113" s="12" t="s">
        <v>131</v>
      </c>
      <c r="F113" s="9"/>
      <c r="G113" s="10">
        <v>2024.0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4">
        <v>113.0</v>
      </c>
      <c r="B114" s="32" t="s">
        <v>191</v>
      </c>
      <c r="C114" s="23">
        <v>10.0</v>
      </c>
      <c r="D114" s="33" t="s">
        <v>86</v>
      </c>
      <c r="E114" s="7" t="s">
        <v>24</v>
      </c>
      <c r="F114" s="24" t="s">
        <v>192</v>
      </c>
      <c r="G114" s="10">
        <v>2024.0</v>
      </c>
      <c r="H114" s="25" t="s">
        <v>89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6">
        <v>114.0</v>
      </c>
      <c r="B115" s="31" t="s">
        <v>193</v>
      </c>
      <c r="C115" s="15">
        <v>9.0</v>
      </c>
      <c r="D115" s="13" t="s">
        <v>9</v>
      </c>
      <c r="E115" s="12" t="s">
        <v>194</v>
      </c>
      <c r="F115" s="9"/>
      <c r="G115" s="10">
        <v>2024.0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6">
        <v>115.0</v>
      </c>
      <c r="B116" s="31" t="s">
        <v>195</v>
      </c>
      <c r="C116" s="15">
        <v>3.3</v>
      </c>
      <c r="D116" s="13" t="s">
        <v>9</v>
      </c>
      <c r="E116" s="12" t="s">
        <v>196</v>
      </c>
      <c r="F116" s="9"/>
      <c r="G116" s="10">
        <v>2024.0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6">
        <v>116.0</v>
      </c>
      <c r="B117" s="30" t="s">
        <v>197</v>
      </c>
      <c r="C117" s="23">
        <v>67.0</v>
      </c>
      <c r="D117" s="28" t="s">
        <v>9</v>
      </c>
      <c r="E117" s="7" t="s">
        <v>198</v>
      </c>
      <c r="F117" s="9"/>
      <c r="G117" s="10">
        <v>2024.0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6">
        <v>117.0</v>
      </c>
      <c r="B118" s="31" t="s">
        <v>199</v>
      </c>
      <c r="C118" s="15">
        <v>4.0</v>
      </c>
      <c r="D118" s="13" t="s">
        <v>9</v>
      </c>
      <c r="E118" s="12" t="s">
        <v>63</v>
      </c>
      <c r="F118" s="9"/>
      <c r="G118" s="10">
        <v>2024.0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6">
        <v>118.0</v>
      </c>
      <c r="B119" s="31" t="s">
        <v>200</v>
      </c>
      <c r="C119" s="15">
        <v>3.3</v>
      </c>
      <c r="D119" s="13" t="s">
        <v>9</v>
      </c>
      <c r="E119" s="12" t="s">
        <v>201</v>
      </c>
      <c r="F119" s="9"/>
      <c r="G119" s="10">
        <v>2024.0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1">
        <v>119.0</v>
      </c>
      <c r="B120" s="30" t="s">
        <v>202</v>
      </c>
      <c r="C120" s="23">
        <v>10.0</v>
      </c>
      <c r="D120" s="33" t="s">
        <v>9</v>
      </c>
      <c r="E120" s="7" t="s">
        <v>198</v>
      </c>
      <c r="F120" s="9"/>
      <c r="G120" s="10">
        <v>2024.0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6">
        <v>120.0</v>
      </c>
      <c r="B121" s="31" t="s">
        <v>203</v>
      </c>
      <c r="C121" s="15">
        <v>528.0</v>
      </c>
      <c r="D121" s="13" t="s">
        <v>9</v>
      </c>
      <c r="E121" s="12" t="s">
        <v>116</v>
      </c>
      <c r="F121" s="9"/>
      <c r="G121" s="10">
        <v>2024.0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6">
        <v>121.0</v>
      </c>
      <c r="B122" s="31" t="s">
        <v>204</v>
      </c>
      <c r="C122" s="15">
        <v>5.0</v>
      </c>
      <c r="D122" s="13" t="s">
        <v>9</v>
      </c>
      <c r="E122" s="12" t="s">
        <v>205</v>
      </c>
      <c r="F122" s="9"/>
      <c r="G122" s="10">
        <v>2024.0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6">
        <v>122.0</v>
      </c>
      <c r="B123" s="31" t="s">
        <v>206</v>
      </c>
      <c r="C123" s="15">
        <v>3.3</v>
      </c>
      <c r="D123" s="13" t="s">
        <v>9</v>
      </c>
      <c r="E123" s="12" t="s">
        <v>207</v>
      </c>
      <c r="F123" s="9"/>
      <c r="G123" s="10">
        <v>2024.0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1">
        <v>123.0</v>
      </c>
      <c r="B124" s="31" t="s">
        <v>208</v>
      </c>
      <c r="C124" s="15">
        <v>3.3</v>
      </c>
      <c r="D124" s="13" t="s">
        <v>9</v>
      </c>
      <c r="E124" s="12" t="s">
        <v>185</v>
      </c>
      <c r="F124" s="9"/>
      <c r="G124" s="10">
        <v>2024.0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4">
        <v>124.0</v>
      </c>
      <c r="B125" s="30" t="s">
        <v>209</v>
      </c>
      <c r="C125" s="23">
        <v>3.3</v>
      </c>
      <c r="D125" s="33" t="s">
        <v>9</v>
      </c>
      <c r="E125" s="7" t="s">
        <v>210</v>
      </c>
      <c r="F125" s="9"/>
      <c r="G125" s="10">
        <v>2024.0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6">
        <v>125.0</v>
      </c>
      <c r="B126" s="31" t="s">
        <v>211</v>
      </c>
      <c r="C126" s="15">
        <v>20.0</v>
      </c>
      <c r="D126" s="18" t="s">
        <v>56</v>
      </c>
      <c r="E126" s="12" t="s">
        <v>212</v>
      </c>
      <c r="F126" s="9"/>
      <c r="G126" s="10">
        <v>2024.0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6">
        <v>126.0</v>
      </c>
      <c r="B127" s="31" t="s">
        <v>213</v>
      </c>
      <c r="C127" s="15">
        <v>7.5</v>
      </c>
      <c r="D127" s="13" t="s">
        <v>9</v>
      </c>
      <c r="E127" s="12" t="s">
        <v>214</v>
      </c>
      <c r="F127" s="9"/>
      <c r="G127" s="10">
        <v>2024.0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6">
        <v>127.0</v>
      </c>
      <c r="B128" s="31" t="s">
        <v>215</v>
      </c>
      <c r="C128" s="15">
        <v>3.3</v>
      </c>
      <c r="D128" s="13" t="s">
        <v>9</v>
      </c>
      <c r="E128" s="12" t="s">
        <v>216</v>
      </c>
      <c r="F128" s="9"/>
      <c r="G128" s="10">
        <v>2024.0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6">
        <v>128.0</v>
      </c>
      <c r="B129" s="31" t="s">
        <v>217</v>
      </c>
      <c r="C129" s="15">
        <v>22.5</v>
      </c>
      <c r="D129" s="13" t="s">
        <v>9</v>
      </c>
      <c r="E129" s="12" t="s">
        <v>80</v>
      </c>
      <c r="F129" s="9"/>
      <c r="G129" s="10">
        <v>2024.0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6">
        <v>129.0</v>
      </c>
      <c r="B130" s="31" t="s">
        <v>218</v>
      </c>
      <c r="C130" s="15">
        <v>10.0</v>
      </c>
      <c r="D130" s="13" t="s">
        <v>9</v>
      </c>
      <c r="E130" s="12" t="s">
        <v>219</v>
      </c>
      <c r="F130" s="9"/>
      <c r="G130" s="10">
        <v>2024.0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1">
        <v>130.0</v>
      </c>
      <c r="B131" s="31" t="s">
        <v>220</v>
      </c>
      <c r="C131" s="15">
        <v>8.7</v>
      </c>
      <c r="D131" s="13" t="s">
        <v>9</v>
      </c>
      <c r="E131" s="12" t="s">
        <v>221</v>
      </c>
      <c r="F131" s="9"/>
      <c r="G131" s="10">
        <v>2024.0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6">
        <v>131.0</v>
      </c>
      <c r="B132" s="30" t="s">
        <v>222</v>
      </c>
      <c r="C132" s="23">
        <v>8.0</v>
      </c>
      <c r="D132" s="28" t="s">
        <v>9</v>
      </c>
      <c r="E132" s="7" t="s">
        <v>24</v>
      </c>
      <c r="F132" s="9"/>
      <c r="G132" s="10">
        <v>2024.0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6">
        <v>132.0</v>
      </c>
      <c r="B133" s="31" t="s">
        <v>223</v>
      </c>
      <c r="C133" s="15">
        <v>14.0</v>
      </c>
      <c r="D133" s="13" t="s">
        <v>9</v>
      </c>
      <c r="E133" s="12" t="s">
        <v>224</v>
      </c>
      <c r="F133" s="9"/>
      <c r="G133" s="10">
        <v>2024.0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6">
        <v>133.0</v>
      </c>
      <c r="B134" s="31" t="s">
        <v>225</v>
      </c>
      <c r="C134" s="15">
        <v>3.0</v>
      </c>
      <c r="D134" s="13" t="s">
        <v>9</v>
      </c>
      <c r="E134" s="12" t="s">
        <v>226</v>
      </c>
      <c r="F134" s="9"/>
      <c r="G134" s="10">
        <v>2024.0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1">
        <v>134.0</v>
      </c>
      <c r="B135" s="31" t="s">
        <v>227</v>
      </c>
      <c r="C135" s="15">
        <v>3.0</v>
      </c>
      <c r="D135" s="13" t="s">
        <v>9</v>
      </c>
      <c r="E135" s="12" t="s">
        <v>185</v>
      </c>
      <c r="F135" s="9"/>
      <c r="G135" s="10">
        <v>2025.0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4">
        <v>135.0</v>
      </c>
      <c r="B136" s="31" t="s">
        <v>228</v>
      </c>
      <c r="C136" s="15">
        <v>10.0</v>
      </c>
      <c r="D136" s="13" t="s">
        <v>9</v>
      </c>
      <c r="E136" s="12" t="s">
        <v>109</v>
      </c>
      <c r="F136" s="9"/>
      <c r="G136" s="10">
        <v>2024.0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6">
        <v>136.0</v>
      </c>
      <c r="B137" s="31" t="s">
        <v>229</v>
      </c>
      <c r="C137" s="15">
        <v>9.9</v>
      </c>
      <c r="D137" s="13" t="s">
        <v>9</v>
      </c>
      <c r="E137" s="12" t="s">
        <v>224</v>
      </c>
      <c r="F137" s="9"/>
      <c r="G137" s="10">
        <v>2024.0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6">
        <v>137.0</v>
      </c>
      <c r="B138" s="31" t="s">
        <v>230</v>
      </c>
      <c r="C138" s="15">
        <v>3.3</v>
      </c>
      <c r="D138" s="13" t="s">
        <v>9</v>
      </c>
      <c r="E138" s="12" t="s">
        <v>59</v>
      </c>
      <c r="F138" s="9"/>
      <c r="G138" s="10">
        <v>2025.0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6">
        <v>138.0</v>
      </c>
      <c r="B139" s="31" t="s">
        <v>231</v>
      </c>
      <c r="C139" s="15">
        <v>5.0</v>
      </c>
      <c r="D139" s="13" t="s">
        <v>9</v>
      </c>
      <c r="E139" s="12" t="s">
        <v>221</v>
      </c>
      <c r="F139" s="9"/>
      <c r="G139" s="10">
        <v>2025.0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6">
        <v>139.0</v>
      </c>
      <c r="B140" s="31" t="s">
        <v>232</v>
      </c>
      <c r="C140" s="15">
        <v>4.4</v>
      </c>
      <c r="D140" s="13" t="s">
        <v>9</v>
      </c>
      <c r="E140" s="12" t="s">
        <v>233</v>
      </c>
      <c r="F140" s="9"/>
      <c r="G140" s="10">
        <v>2025.0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6">
        <v>140.0</v>
      </c>
      <c r="B141" s="31" t="s">
        <v>234</v>
      </c>
      <c r="C141" s="15">
        <v>5.0</v>
      </c>
      <c r="D141" s="13" t="s">
        <v>9</v>
      </c>
      <c r="E141" s="12" t="s">
        <v>20</v>
      </c>
      <c r="F141" s="9"/>
      <c r="G141" s="10">
        <v>2025.0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1">
        <v>141.0</v>
      </c>
      <c r="B142" s="31" t="s">
        <v>235</v>
      </c>
      <c r="C142" s="15">
        <v>3.3</v>
      </c>
      <c r="D142" s="13" t="s">
        <v>9</v>
      </c>
      <c r="E142" s="12" t="s">
        <v>24</v>
      </c>
      <c r="F142" s="9"/>
      <c r="G142" s="10">
        <v>2025.0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6">
        <v>142.0</v>
      </c>
      <c r="B143" s="31" t="s">
        <v>236</v>
      </c>
      <c r="C143" s="15">
        <v>5.0</v>
      </c>
      <c r="D143" s="13" t="s">
        <v>9</v>
      </c>
      <c r="E143" s="12" t="s">
        <v>20</v>
      </c>
      <c r="F143" s="9"/>
      <c r="G143" s="10">
        <v>2025.0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6">
        <v>143.0</v>
      </c>
      <c r="B144" s="30" t="s">
        <v>237</v>
      </c>
      <c r="C144" s="23">
        <v>8.8</v>
      </c>
      <c r="D144" s="33" t="s">
        <v>9</v>
      </c>
      <c r="E144" s="7" t="s">
        <v>42</v>
      </c>
      <c r="F144" s="9"/>
      <c r="G144" s="10">
        <v>2025.0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6">
        <v>144.0</v>
      </c>
      <c r="B145" s="31" t="s">
        <v>238</v>
      </c>
      <c r="C145" s="15">
        <v>8.8</v>
      </c>
      <c r="D145" s="13" t="s">
        <v>9</v>
      </c>
      <c r="E145" s="12" t="s">
        <v>63</v>
      </c>
      <c r="F145" s="9"/>
      <c r="G145" s="10">
        <v>2025.0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1">
        <v>145.0</v>
      </c>
      <c r="B146" s="31" t="s">
        <v>239</v>
      </c>
      <c r="C146" s="15">
        <v>8.8</v>
      </c>
      <c r="D146" s="13" t="s">
        <v>9</v>
      </c>
      <c r="E146" s="12" t="s">
        <v>63</v>
      </c>
      <c r="F146" s="9"/>
      <c r="G146" s="10">
        <v>2025.0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4">
        <v>146.0</v>
      </c>
      <c r="B147" s="31" t="s">
        <v>240</v>
      </c>
      <c r="C147" s="15">
        <v>3.3</v>
      </c>
      <c r="D147" s="13" t="s">
        <v>9</v>
      </c>
      <c r="E147" s="12" t="s">
        <v>24</v>
      </c>
      <c r="F147" s="9"/>
      <c r="G147" s="10">
        <v>2025.0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6">
        <v>147.0</v>
      </c>
      <c r="B148" s="16" t="s">
        <v>241</v>
      </c>
      <c r="C148" s="15">
        <v>0.0</v>
      </c>
      <c r="D148" s="13" t="s">
        <v>9</v>
      </c>
      <c r="E148" s="12" t="s">
        <v>242</v>
      </c>
      <c r="F148" s="9"/>
      <c r="G148" s="10">
        <v>2025.0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6">
        <v>148.0</v>
      </c>
      <c r="B149" s="31" t="s">
        <v>243</v>
      </c>
      <c r="C149" s="15">
        <v>5.5</v>
      </c>
      <c r="D149" s="13" t="s">
        <v>9</v>
      </c>
      <c r="E149" s="12" t="s">
        <v>75</v>
      </c>
      <c r="F149" s="9"/>
      <c r="G149" s="10">
        <v>2025.0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6">
        <v>149.0</v>
      </c>
      <c r="B150" s="31" t="s">
        <v>244</v>
      </c>
      <c r="C150" s="15">
        <v>3.3</v>
      </c>
      <c r="D150" s="13" t="s">
        <v>9</v>
      </c>
      <c r="E150" s="12" t="s">
        <v>61</v>
      </c>
      <c r="F150" s="9"/>
      <c r="G150" s="25">
        <v>2025.0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6">
        <v>150.0</v>
      </c>
      <c r="B151" s="31" t="s">
        <v>245</v>
      </c>
      <c r="C151" s="15">
        <v>3.3</v>
      </c>
      <c r="D151" s="13" t="s">
        <v>9</v>
      </c>
      <c r="E151" s="12" t="s">
        <v>131</v>
      </c>
      <c r="F151" s="9"/>
      <c r="G151" s="25">
        <v>2025.0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6">
        <v>151.0</v>
      </c>
      <c r="B152" s="14" t="s">
        <v>246</v>
      </c>
      <c r="C152" s="23">
        <v>6.6</v>
      </c>
      <c r="D152" s="34" t="s">
        <v>9</v>
      </c>
      <c r="E152" s="7" t="s">
        <v>247</v>
      </c>
      <c r="F152" s="24" t="s">
        <v>248</v>
      </c>
      <c r="G152" s="10">
        <v>2025.0</v>
      </c>
      <c r="H152" s="25" t="s">
        <v>89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1">
        <v>152.0</v>
      </c>
      <c r="B153" s="31" t="s">
        <v>249</v>
      </c>
      <c r="C153" s="15">
        <v>3.3</v>
      </c>
      <c r="D153" s="13" t="s">
        <v>9</v>
      </c>
      <c r="E153" s="12" t="s">
        <v>185</v>
      </c>
      <c r="F153" s="9"/>
      <c r="G153" s="10">
        <v>2025.0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6">
        <v>153.0</v>
      </c>
      <c r="B154" s="31" t="s">
        <v>250</v>
      </c>
      <c r="C154" s="15">
        <v>5.0</v>
      </c>
      <c r="D154" s="13" t="s">
        <v>9</v>
      </c>
      <c r="E154" s="12" t="s">
        <v>24</v>
      </c>
      <c r="F154" s="9"/>
      <c r="G154" s="10">
        <v>2025.0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6">
        <v>154.0</v>
      </c>
      <c r="B155" s="31" t="s">
        <v>251</v>
      </c>
      <c r="C155" s="15">
        <v>5.0</v>
      </c>
      <c r="D155" s="13" t="s">
        <v>9</v>
      </c>
      <c r="E155" s="12" t="s">
        <v>16</v>
      </c>
      <c r="F155" s="9"/>
      <c r="G155" s="10">
        <v>2025.0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6">
        <v>155.0</v>
      </c>
      <c r="B156" s="31" t="s">
        <v>252</v>
      </c>
      <c r="C156" s="15">
        <v>3.3</v>
      </c>
      <c r="D156" s="13" t="s">
        <v>9</v>
      </c>
      <c r="E156" s="12" t="s">
        <v>214</v>
      </c>
      <c r="F156" s="9"/>
      <c r="G156" s="10">
        <v>2025.0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6">
        <v>156.0</v>
      </c>
      <c r="B157" s="30" t="s">
        <v>253</v>
      </c>
      <c r="C157" s="23">
        <v>19.0</v>
      </c>
      <c r="D157" s="20" t="s">
        <v>172</v>
      </c>
      <c r="E157" s="7" t="s">
        <v>254</v>
      </c>
      <c r="F157" s="24" t="s">
        <v>255</v>
      </c>
      <c r="G157" s="25">
        <v>2025.0</v>
      </c>
      <c r="H157" s="25" t="s">
        <v>256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4">
        <v>157.0</v>
      </c>
      <c r="B158" s="31" t="s">
        <v>257</v>
      </c>
      <c r="C158" s="15">
        <v>3.3</v>
      </c>
      <c r="D158" s="13" t="s">
        <v>9</v>
      </c>
      <c r="E158" s="12" t="s">
        <v>258</v>
      </c>
      <c r="F158" s="9"/>
      <c r="G158" s="10">
        <v>2025.0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6">
        <v>158.0</v>
      </c>
      <c r="B159" s="35" t="s">
        <v>259</v>
      </c>
      <c r="C159" s="23">
        <v>4.4</v>
      </c>
      <c r="D159" s="20" t="s">
        <v>9</v>
      </c>
      <c r="E159" s="7" t="s">
        <v>260</v>
      </c>
      <c r="F159" s="9"/>
      <c r="G159" s="10">
        <v>2025.0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6">
        <v>159.0</v>
      </c>
      <c r="B160" s="31" t="s">
        <v>261</v>
      </c>
      <c r="C160" s="15">
        <v>4.4</v>
      </c>
      <c r="D160" s="13" t="s">
        <v>9</v>
      </c>
      <c r="E160" s="12" t="s">
        <v>10</v>
      </c>
      <c r="F160" s="9"/>
      <c r="G160" s="10">
        <v>2025.0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6">
        <v>160.0</v>
      </c>
      <c r="B161" s="31" t="s">
        <v>262</v>
      </c>
      <c r="C161" s="15">
        <v>3.3</v>
      </c>
      <c r="D161" s="13" t="s">
        <v>9</v>
      </c>
      <c r="E161" s="12" t="s">
        <v>263</v>
      </c>
      <c r="F161" s="9"/>
      <c r="G161" s="10">
        <v>2025.0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6">
        <v>161.0</v>
      </c>
      <c r="B162" s="30" t="s">
        <v>264</v>
      </c>
      <c r="C162" s="23">
        <v>3.3</v>
      </c>
      <c r="D162" s="22" t="s">
        <v>123</v>
      </c>
      <c r="E162" s="7" t="s">
        <v>131</v>
      </c>
      <c r="F162" s="24" t="s">
        <v>265</v>
      </c>
      <c r="G162" s="10">
        <v>2025.0</v>
      </c>
      <c r="H162" s="25" t="s">
        <v>89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6">
        <v>162.0</v>
      </c>
      <c r="B163" s="31" t="s">
        <v>266</v>
      </c>
      <c r="C163" s="15">
        <v>6.0</v>
      </c>
      <c r="D163" s="13" t="s">
        <v>9</v>
      </c>
      <c r="E163" s="12" t="s">
        <v>185</v>
      </c>
      <c r="F163" s="9"/>
      <c r="G163" s="10">
        <v>2025.0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1">
        <v>163.0</v>
      </c>
      <c r="B164" s="31" t="s">
        <v>267</v>
      </c>
      <c r="C164" s="15">
        <v>3.3</v>
      </c>
      <c r="D164" s="13" t="s">
        <v>9</v>
      </c>
      <c r="E164" s="12" t="s">
        <v>268</v>
      </c>
      <c r="F164" s="9"/>
      <c r="G164" s="10">
        <v>2025.0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6">
        <v>164.0</v>
      </c>
      <c r="B165" s="31" t="s">
        <v>269</v>
      </c>
      <c r="C165" s="15">
        <v>3.3</v>
      </c>
      <c r="D165" s="13" t="s">
        <v>9</v>
      </c>
      <c r="E165" s="12" t="s">
        <v>59</v>
      </c>
      <c r="F165" s="9"/>
      <c r="G165" s="10">
        <v>2025.0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4">
        <v>165.0</v>
      </c>
      <c r="B166" s="36" t="s">
        <v>270</v>
      </c>
      <c r="C166" s="23">
        <v>40.0</v>
      </c>
      <c r="D166" s="22" t="s">
        <v>9</v>
      </c>
      <c r="E166" s="7" t="s">
        <v>198</v>
      </c>
      <c r="F166" s="9"/>
      <c r="G166" s="10">
        <v>2025.0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6">
        <v>166.0</v>
      </c>
      <c r="B167" s="31" t="s">
        <v>271</v>
      </c>
      <c r="C167" s="15">
        <v>9.9</v>
      </c>
      <c r="D167" s="13" t="s">
        <v>9</v>
      </c>
      <c r="E167" s="12" t="s">
        <v>272</v>
      </c>
      <c r="F167" s="9"/>
      <c r="G167" s="10">
        <v>2025.0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1">
        <v>167.0</v>
      </c>
      <c r="B168" s="31" t="s">
        <v>273</v>
      </c>
      <c r="C168" s="15">
        <v>3.3</v>
      </c>
      <c r="D168" s="13" t="s">
        <v>9</v>
      </c>
      <c r="E168" s="12" t="s">
        <v>59</v>
      </c>
      <c r="F168" s="9"/>
      <c r="G168" s="10">
        <v>2025.0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4">
        <v>168.0</v>
      </c>
      <c r="B169" s="31" t="s">
        <v>274</v>
      </c>
      <c r="C169" s="15">
        <v>5.0</v>
      </c>
      <c r="D169" s="13" t="s">
        <v>9</v>
      </c>
      <c r="E169" s="12" t="s">
        <v>275</v>
      </c>
      <c r="F169" s="9"/>
      <c r="G169" s="10">
        <v>2025.0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6">
        <v>169.0</v>
      </c>
      <c r="B170" s="30" t="s">
        <v>276</v>
      </c>
      <c r="C170" s="23">
        <v>3.3</v>
      </c>
      <c r="D170" s="33" t="s">
        <v>9</v>
      </c>
      <c r="E170" s="7" t="s">
        <v>42</v>
      </c>
      <c r="F170" s="9"/>
      <c r="G170" s="10">
        <v>2025.0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6">
        <v>170.0</v>
      </c>
      <c r="B171" s="31" t="s">
        <v>277</v>
      </c>
      <c r="C171" s="15">
        <v>3.3</v>
      </c>
      <c r="D171" s="13" t="s">
        <v>9</v>
      </c>
      <c r="E171" s="12" t="s">
        <v>278</v>
      </c>
      <c r="F171" s="9"/>
      <c r="G171" s="10">
        <v>2025.0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6">
        <v>171.0</v>
      </c>
      <c r="B172" s="31" t="s">
        <v>279</v>
      </c>
      <c r="C172" s="15">
        <v>3.3</v>
      </c>
      <c r="D172" s="13" t="s">
        <v>9</v>
      </c>
      <c r="E172" s="12" t="s">
        <v>280</v>
      </c>
      <c r="F172" s="9"/>
      <c r="G172" s="10">
        <v>2025.0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6">
        <v>172.0</v>
      </c>
      <c r="B173" s="30" t="s">
        <v>281</v>
      </c>
      <c r="C173" s="23">
        <v>20.0</v>
      </c>
      <c r="D173" s="20" t="s">
        <v>56</v>
      </c>
      <c r="E173" s="7" t="s">
        <v>105</v>
      </c>
      <c r="F173" s="9"/>
      <c r="G173" s="10">
        <v>2025.0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6">
        <v>173.0</v>
      </c>
      <c r="B174" s="30" t="s">
        <v>282</v>
      </c>
      <c r="C174" s="23">
        <v>2.2</v>
      </c>
      <c r="D174" s="33" t="s">
        <v>9</v>
      </c>
      <c r="E174" s="7" t="s">
        <v>131</v>
      </c>
      <c r="F174" s="9"/>
      <c r="G174" s="10">
        <v>2025.0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1">
        <v>174.0</v>
      </c>
      <c r="B175" s="31" t="s">
        <v>283</v>
      </c>
      <c r="C175" s="15">
        <v>5.0</v>
      </c>
      <c r="D175" s="13" t="s">
        <v>9</v>
      </c>
      <c r="E175" s="12" t="s">
        <v>284</v>
      </c>
      <c r="F175" s="9"/>
      <c r="G175" s="10">
        <v>2025.0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4">
        <v>175.0</v>
      </c>
      <c r="B176" s="32" t="s">
        <v>285</v>
      </c>
      <c r="C176" s="23">
        <v>100.0</v>
      </c>
      <c r="D176" s="33" t="s">
        <v>86</v>
      </c>
      <c r="E176" s="7" t="s">
        <v>59</v>
      </c>
      <c r="F176" s="9"/>
      <c r="G176" s="10">
        <v>2025.0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6">
        <v>176.0</v>
      </c>
      <c r="B177" s="30" t="s">
        <v>286</v>
      </c>
      <c r="C177" s="23">
        <v>9.7</v>
      </c>
      <c r="D177" s="33" t="s">
        <v>9</v>
      </c>
      <c r="E177" s="7" t="s">
        <v>287</v>
      </c>
      <c r="F177" s="9"/>
      <c r="G177" s="10">
        <v>2025.0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6">
        <v>177.0</v>
      </c>
      <c r="B178" s="31" t="s">
        <v>288</v>
      </c>
      <c r="C178" s="15">
        <v>5.5</v>
      </c>
      <c r="D178" s="13" t="s">
        <v>9</v>
      </c>
      <c r="E178" s="12" t="s">
        <v>289</v>
      </c>
      <c r="F178" s="9"/>
      <c r="G178" s="10">
        <v>2025.0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1">
        <v>178.0</v>
      </c>
      <c r="B179" s="36" t="s">
        <v>290</v>
      </c>
      <c r="C179" s="23">
        <v>9.3</v>
      </c>
      <c r="D179" s="33" t="s">
        <v>9</v>
      </c>
      <c r="E179" s="7" t="s">
        <v>291</v>
      </c>
      <c r="F179" s="9"/>
      <c r="G179" s="10">
        <v>2025.0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4">
        <v>179.0</v>
      </c>
      <c r="B180" s="31" t="s">
        <v>292</v>
      </c>
      <c r="C180" s="15">
        <v>2.2</v>
      </c>
      <c r="D180" s="13" t="s">
        <v>9</v>
      </c>
      <c r="E180" s="12" t="s">
        <v>291</v>
      </c>
      <c r="F180" s="9"/>
      <c r="G180" s="10">
        <v>2025.0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6">
        <v>180.0</v>
      </c>
      <c r="B181" s="31" t="s">
        <v>293</v>
      </c>
      <c r="C181" s="15">
        <v>2.2</v>
      </c>
      <c r="D181" s="13" t="s">
        <v>9</v>
      </c>
      <c r="E181" s="12" t="s">
        <v>16</v>
      </c>
      <c r="F181" s="9"/>
      <c r="G181" s="10">
        <v>2025.0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4">
        <v>181.0</v>
      </c>
      <c r="B182" s="30" t="s">
        <v>294</v>
      </c>
      <c r="C182" s="23">
        <v>20.5</v>
      </c>
      <c r="D182" s="20" t="s">
        <v>123</v>
      </c>
      <c r="E182" s="7" t="s">
        <v>212</v>
      </c>
      <c r="F182" s="24" t="s">
        <v>295</v>
      </c>
      <c r="G182" s="10">
        <v>2025.0</v>
      </c>
      <c r="H182" s="25" t="s">
        <v>89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6">
        <v>182.0</v>
      </c>
      <c r="B183" s="30" t="s">
        <v>296</v>
      </c>
      <c r="C183" s="23">
        <v>20.0</v>
      </c>
      <c r="D183" s="20" t="s">
        <v>86</v>
      </c>
      <c r="E183" s="7" t="s">
        <v>116</v>
      </c>
      <c r="F183" s="9"/>
      <c r="G183" s="10">
        <v>2025.0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4">
        <v>183.0</v>
      </c>
      <c r="B184" s="30" t="s">
        <v>297</v>
      </c>
      <c r="C184" s="23">
        <v>10.0</v>
      </c>
      <c r="D184" s="20" t="s">
        <v>86</v>
      </c>
      <c r="E184" s="7" t="s">
        <v>73</v>
      </c>
      <c r="F184" s="24" t="s">
        <v>298</v>
      </c>
      <c r="G184" s="10">
        <v>2025.0</v>
      </c>
      <c r="H184" s="25" t="s">
        <v>89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6">
        <v>184.0</v>
      </c>
      <c r="B185" s="30" t="s">
        <v>299</v>
      </c>
      <c r="C185" s="23">
        <v>30.0</v>
      </c>
      <c r="D185" s="22" t="s">
        <v>123</v>
      </c>
      <c r="E185" s="7" t="s">
        <v>300</v>
      </c>
      <c r="F185" s="24" t="s">
        <v>301</v>
      </c>
      <c r="G185" s="10">
        <v>2025.0</v>
      </c>
      <c r="H185" s="25" t="s">
        <v>89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1">
        <v>185.0</v>
      </c>
      <c r="B186" s="30" t="s">
        <v>302</v>
      </c>
      <c r="C186" s="23">
        <v>8.0</v>
      </c>
      <c r="D186" s="33" t="s">
        <v>9</v>
      </c>
      <c r="E186" s="7" t="s">
        <v>44</v>
      </c>
      <c r="F186" s="9"/>
      <c r="G186" s="10">
        <v>2025.0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4">
        <v>186.0</v>
      </c>
      <c r="B187" s="30" t="s">
        <v>303</v>
      </c>
      <c r="C187" s="23">
        <v>30.0</v>
      </c>
      <c r="D187" s="22" t="s">
        <v>123</v>
      </c>
      <c r="E187" s="7" t="s">
        <v>65</v>
      </c>
      <c r="F187" s="24" t="s">
        <v>304</v>
      </c>
      <c r="G187" s="10">
        <v>2025.0</v>
      </c>
      <c r="H187" s="25" t="s">
        <v>89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6">
        <v>187.0</v>
      </c>
      <c r="B188" s="31" t="s">
        <v>305</v>
      </c>
      <c r="C188" s="15">
        <v>9.7</v>
      </c>
      <c r="D188" s="13" t="s">
        <v>9</v>
      </c>
      <c r="E188" s="12" t="s">
        <v>44</v>
      </c>
      <c r="F188" s="9"/>
      <c r="G188" s="10">
        <v>2025.0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6">
        <v>188.0</v>
      </c>
      <c r="B189" s="30" t="s">
        <v>306</v>
      </c>
      <c r="C189" s="23">
        <v>3.3</v>
      </c>
      <c r="D189" s="22" t="s">
        <v>86</v>
      </c>
      <c r="E189" s="7" t="s">
        <v>224</v>
      </c>
      <c r="F189" s="9"/>
      <c r="G189" s="10">
        <v>2025.0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1">
        <v>189.0</v>
      </c>
      <c r="B190" s="37" t="s">
        <v>307</v>
      </c>
      <c r="C190" s="23">
        <v>6.0</v>
      </c>
      <c r="D190" s="22" t="s">
        <v>9</v>
      </c>
      <c r="E190" s="7" t="s">
        <v>109</v>
      </c>
      <c r="F190" s="9"/>
      <c r="G190" s="10">
        <v>2025.0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4">
        <v>190.0</v>
      </c>
      <c r="B191" s="31" t="s">
        <v>308</v>
      </c>
      <c r="C191" s="15">
        <v>8.0</v>
      </c>
      <c r="D191" s="13" t="s">
        <v>9</v>
      </c>
      <c r="E191" s="12" t="s">
        <v>309</v>
      </c>
      <c r="F191" s="9"/>
      <c r="G191" s="10">
        <v>2025.0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6">
        <v>191.0</v>
      </c>
      <c r="B192" s="31" t="s">
        <v>310</v>
      </c>
      <c r="C192" s="15">
        <v>3.3</v>
      </c>
      <c r="D192" s="13" t="s">
        <v>9</v>
      </c>
      <c r="E192" s="12" t="s">
        <v>311</v>
      </c>
      <c r="F192" s="9"/>
      <c r="G192" s="10">
        <v>2025.0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4">
        <v>192.0</v>
      </c>
      <c r="B193" s="30" t="s">
        <v>312</v>
      </c>
      <c r="C193" s="23">
        <v>4.4</v>
      </c>
      <c r="D193" s="38" t="s">
        <v>9</v>
      </c>
      <c r="E193" s="7" t="s">
        <v>24</v>
      </c>
      <c r="F193" s="9"/>
      <c r="G193" s="10">
        <v>2025.0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6">
        <v>193.0</v>
      </c>
      <c r="B194" s="36" t="s">
        <v>313</v>
      </c>
      <c r="C194" s="23">
        <v>50.0</v>
      </c>
      <c r="D194" s="20" t="s">
        <v>9</v>
      </c>
      <c r="E194" s="7" t="s">
        <v>24</v>
      </c>
      <c r="F194" s="9"/>
      <c r="G194" s="10">
        <v>2025.0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6">
        <v>194.0</v>
      </c>
      <c r="B195" s="31" t="s">
        <v>314</v>
      </c>
      <c r="C195" s="15">
        <v>3.3</v>
      </c>
      <c r="D195" s="13" t="s">
        <v>9</v>
      </c>
      <c r="E195" s="12" t="s">
        <v>80</v>
      </c>
      <c r="F195" s="9"/>
      <c r="G195" s="10">
        <v>2025.0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6">
        <v>195.0</v>
      </c>
      <c r="B196" s="30" t="s">
        <v>315</v>
      </c>
      <c r="C196" s="23">
        <v>4.4</v>
      </c>
      <c r="D196" s="33" t="s">
        <v>9</v>
      </c>
      <c r="E196" s="7" t="s">
        <v>94</v>
      </c>
      <c r="F196" s="9"/>
      <c r="G196" s="10">
        <v>2025.0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1">
        <v>196.0</v>
      </c>
      <c r="B197" s="30" t="s">
        <v>316</v>
      </c>
      <c r="C197" s="23">
        <v>2.2</v>
      </c>
      <c r="D197" s="33" t="s">
        <v>9</v>
      </c>
      <c r="E197" s="7" t="s">
        <v>109</v>
      </c>
      <c r="F197" s="9"/>
      <c r="G197" s="10">
        <v>2025.0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6">
        <v>197.0</v>
      </c>
      <c r="B198" s="30" t="s">
        <v>317</v>
      </c>
      <c r="C198" s="23">
        <v>4.8</v>
      </c>
      <c r="D198" s="20" t="s">
        <v>9</v>
      </c>
      <c r="E198" s="7" t="s">
        <v>14</v>
      </c>
      <c r="F198" s="9"/>
      <c r="G198" s="10">
        <v>2025.0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4">
        <v>198.0</v>
      </c>
      <c r="B199" s="32" t="s">
        <v>318</v>
      </c>
      <c r="C199" s="23">
        <v>100.0</v>
      </c>
      <c r="D199" s="20" t="s">
        <v>172</v>
      </c>
      <c r="E199" s="7" t="s">
        <v>116</v>
      </c>
      <c r="F199" s="24" t="s">
        <v>319</v>
      </c>
      <c r="G199" s="10">
        <v>2025.0</v>
      </c>
      <c r="H199" s="25" t="s">
        <v>89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6">
        <v>199.0</v>
      </c>
      <c r="B200" s="32" t="s">
        <v>320</v>
      </c>
      <c r="C200" s="15">
        <v>10.0</v>
      </c>
      <c r="D200" s="13" t="s">
        <v>9</v>
      </c>
      <c r="E200" s="12" t="s">
        <v>321</v>
      </c>
      <c r="F200" s="9"/>
      <c r="G200" s="10">
        <v>2025.0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1">
        <v>200.0</v>
      </c>
      <c r="B201" s="31" t="s">
        <v>322</v>
      </c>
      <c r="C201" s="15">
        <v>3.3</v>
      </c>
      <c r="D201" s="13" t="s">
        <v>9</v>
      </c>
      <c r="E201" s="12" t="s">
        <v>323</v>
      </c>
      <c r="F201" s="9"/>
      <c r="G201" s="10">
        <v>2025.0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4">
        <v>201.0</v>
      </c>
      <c r="B202" s="37" t="s">
        <v>324</v>
      </c>
      <c r="C202" s="23">
        <v>10.0</v>
      </c>
      <c r="D202" s="38" t="s">
        <v>86</v>
      </c>
      <c r="E202" s="7" t="s">
        <v>116</v>
      </c>
      <c r="F202" s="9"/>
      <c r="G202" s="10">
        <v>2025.0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4">
        <v>202.0</v>
      </c>
      <c r="B203" s="37" t="s">
        <v>325</v>
      </c>
      <c r="C203" s="23">
        <v>10.5</v>
      </c>
      <c r="D203" s="38" t="s">
        <v>9</v>
      </c>
      <c r="E203" s="7" t="s">
        <v>116</v>
      </c>
      <c r="F203" s="9"/>
      <c r="G203" s="10">
        <v>2025.0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4">
        <v>203.0</v>
      </c>
      <c r="B204" s="30" t="s">
        <v>326</v>
      </c>
      <c r="C204" s="23">
        <v>6.6</v>
      </c>
      <c r="D204" s="8" t="s">
        <v>9</v>
      </c>
      <c r="E204" s="7" t="s">
        <v>327</v>
      </c>
      <c r="F204" s="9"/>
      <c r="G204" s="10">
        <v>2025.0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4">
        <v>204.0</v>
      </c>
      <c r="B205" s="37" t="s">
        <v>328</v>
      </c>
      <c r="C205" s="23">
        <v>4.4</v>
      </c>
      <c r="D205" s="38" t="s">
        <v>9</v>
      </c>
      <c r="E205" s="7" t="s">
        <v>36</v>
      </c>
      <c r="F205" s="9"/>
      <c r="G205" s="10">
        <v>2025.0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6">
        <v>205.0</v>
      </c>
      <c r="B206" s="39" t="s">
        <v>329</v>
      </c>
      <c r="C206" s="23">
        <v>10.0</v>
      </c>
      <c r="D206" s="22" t="s">
        <v>9</v>
      </c>
      <c r="E206" s="7" t="s">
        <v>131</v>
      </c>
      <c r="F206" s="9"/>
      <c r="G206" s="10">
        <v>2025.0</v>
      </c>
      <c r="H206" s="25" t="s">
        <v>89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6">
        <v>206.0</v>
      </c>
      <c r="B207" s="36" t="s">
        <v>330</v>
      </c>
      <c r="C207" s="23">
        <v>8.8</v>
      </c>
      <c r="D207" s="20" t="s">
        <v>9</v>
      </c>
      <c r="E207" s="7" t="s">
        <v>331</v>
      </c>
      <c r="F207" s="9"/>
      <c r="G207" s="10">
        <v>2025.0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6">
        <v>207.0</v>
      </c>
      <c r="B208" s="37" t="s">
        <v>332</v>
      </c>
      <c r="C208" s="23">
        <v>20.0</v>
      </c>
      <c r="D208" s="38" t="s">
        <v>123</v>
      </c>
      <c r="E208" s="7" t="s">
        <v>198</v>
      </c>
      <c r="F208" s="24" t="s">
        <v>333</v>
      </c>
      <c r="G208" s="10">
        <v>2025.0</v>
      </c>
      <c r="H208" s="25" t="s">
        <v>89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4">
        <v>208.0</v>
      </c>
      <c r="B209" s="37" t="s">
        <v>334</v>
      </c>
      <c r="C209" s="23">
        <v>5.0</v>
      </c>
      <c r="D209" s="38" t="s">
        <v>123</v>
      </c>
      <c r="E209" s="7" t="s">
        <v>20</v>
      </c>
      <c r="F209" s="24" t="s">
        <v>335</v>
      </c>
      <c r="G209" s="10">
        <v>2025.0</v>
      </c>
      <c r="H209" s="25" t="s">
        <v>89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4">
        <v>209.0</v>
      </c>
      <c r="B210" s="37" t="s">
        <v>336</v>
      </c>
      <c r="C210" s="23">
        <v>5.0</v>
      </c>
      <c r="D210" s="38" t="s">
        <v>86</v>
      </c>
      <c r="E210" s="7" t="s">
        <v>96</v>
      </c>
      <c r="F210" s="24" t="s">
        <v>337</v>
      </c>
      <c r="G210" s="10">
        <v>2025.0</v>
      </c>
      <c r="H210" s="25" t="s">
        <v>89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6">
        <v>210.0</v>
      </c>
      <c r="B211" s="21" t="s">
        <v>338</v>
      </c>
      <c r="C211" s="23">
        <v>4.8</v>
      </c>
      <c r="D211" s="38" t="s">
        <v>9</v>
      </c>
      <c r="E211" s="7" t="s">
        <v>214</v>
      </c>
      <c r="F211" s="9"/>
      <c r="G211" s="10">
        <v>2025.0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1">
        <v>211.0</v>
      </c>
      <c r="B212" s="21" t="s">
        <v>339</v>
      </c>
      <c r="C212" s="7">
        <v>3.3</v>
      </c>
      <c r="D212" s="7" t="s">
        <v>9</v>
      </c>
      <c r="E212" s="7" t="s">
        <v>340</v>
      </c>
      <c r="F212" s="9"/>
      <c r="G212" s="10">
        <v>2025.0</v>
      </c>
      <c r="H212" s="25" t="s">
        <v>89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4">
        <v>212.0</v>
      </c>
      <c r="B213" s="21" t="s">
        <v>341</v>
      </c>
      <c r="C213" s="7">
        <v>4.4</v>
      </c>
      <c r="D213" s="7" t="s">
        <v>9</v>
      </c>
      <c r="E213" s="7" t="s">
        <v>280</v>
      </c>
      <c r="F213" s="9"/>
      <c r="G213" s="10">
        <v>2025.0</v>
      </c>
      <c r="H213" s="25" t="s">
        <v>89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6">
        <v>213.0</v>
      </c>
      <c r="B214" s="21" t="s">
        <v>342</v>
      </c>
      <c r="C214" s="7">
        <v>3.3</v>
      </c>
      <c r="D214" s="7" t="s">
        <v>86</v>
      </c>
      <c r="E214" s="7" t="s">
        <v>24</v>
      </c>
      <c r="F214" s="9"/>
      <c r="G214" s="10">
        <v>2025.0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4">
        <v>214.0</v>
      </c>
      <c r="B215" s="21" t="s">
        <v>343</v>
      </c>
      <c r="C215" s="7">
        <v>6.0</v>
      </c>
      <c r="D215" s="7" t="s">
        <v>172</v>
      </c>
      <c r="E215" s="7" t="s">
        <v>24</v>
      </c>
      <c r="F215" s="40" t="s">
        <v>344</v>
      </c>
      <c r="G215" s="10">
        <v>2025.0</v>
      </c>
      <c r="H215" s="25" t="s">
        <v>89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6">
        <v>215.0</v>
      </c>
      <c r="B216" s="21" t="s">
        <v>345</v>
      </c>
      <c r="C216" s="7">
        <v>6.0</v>
      </c>
      <c r="D216" s="7" t="s">
        <v>9</v>
      </c>
      <c r="E216" s="7" t="s">
        <v>346</v>
      </c>
      <c r="F216" s="9"/>
      <c r="G216" s="10">
        <v>2025.0</v>
      </c>
      <c r="H216" s="25" t="s">
        <v>89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6">
        <v>216.0</v>
      </c>
      <c r="B217" s="6" t="s">
        <v>347</v>
      </c>
      <c r="C217" s="7">
        <v>5.0</v>
      </c>
      <c r="D217" s="7" t="s">
        <v>9</v>
      </c>
      <c r="E217" s="7" t="s">
        <v>24</v>
      </c>
      <c r="F217" s="9"/>
      <c r="G217" s="10">
        <v>2025.0</v>
      </c>
      <c r="H217" s="25" t="s">
        <v>89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6">
        <v>217.0</v>
      </c>
      <c r="B218" s="6" t="s">
        <v>348</v>
      </c>
      <c r="C218" s="7">
        <v>3.3</v>
      </c>
      <c r="D218" s="7" t="s">
        <v>9</v>
      </c>
      <c r="E218" s="7" t="s">
        <v>75</v>
      </c>
      <c r="F218" s="9"/>
      <c r="G218" s="10">
        <v>2025.0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1">
        <v>218.0</v>
      </c>
      <c r="B219" s="6" t="s">
        <v>349</v>
      </c>
      <c r="C219" s="7">
        <v>5.0</v>
      </c>
      <c r="D219" s="7" t="s">
        <v>9</v>
      </c>
      <c r="E219" s="7" t="s">
        <v>350</v>
      </c>
      <c r="F219" s="9"/>
      <c r="G219" s="10">
        <v>2025.0</v>
      </c>
      <c r="H219" s="25" t="s">
        <v>89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6">
        <v>219.0</v>
      </c>
      <c r="B220" s="6" t="s">
        <v>351</v>
      </c>
      <c r="C220" s="7">
        <v>8.0</v>
      </c>
      <c r="D220" s="7" t="s">
        <v>86</v>
      </c>
      <c r="E220" s="7" t="s">
        <v>20</v>
      </c>
      <c r="F220" s="9"/>
      <c r="G220" s="10">
        <v>2025.0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4">
        <v>220.0</v>
      </c>
      <c r="B221" s="6" t="s">
        <v>352</v>
      </c>
      <c r="C221" s="7">
        <v>5.4</v>
      </c>
      <c r="D221" s="7" t="s">
        <v>9</v>
      </c>
      <c r="E221" s="7" t="s">
        <v>73</v>
      </c>
      <c r="F221" s="24" t="s">
        <v>353</v>
      </c>
      <c r="G221" s="10">
        <v>2025.0</v>
      </c>
      <c r="H221" s="25" t="s">
        <v>89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6">
        <v>221.0</v>
      </c>
      <c r="B222" s="6" t="s">
        <v>354</v>
      </c>
      <c r="C222" s="7">
        <v>9.8</v>
      </c>
      <c r="D222" s="7" t="s">
        <v>86</v>
      </c>
      <c r="E222" s="7" t="s">
        <v>16</v>
      </c>
      <c r="F222" s="9"/>
      <c r="G222" s="10">
        <v>2025.0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1">
        <v>222.0</v>
      </c>
      <c r="B223" s="6" t="s">
        <v>355</v>
      </c>
      <c r="C223" s="7">
        <v>4.3</v>
      </c>
      <c r="D223" s="7" t="s">
        <v>9</v>
      </c>
      <c r="E223" s="7" t="s">
        <v>356</v>
      </c>
      <c r="F223" s="9"/>
      <c r="G223" s="10">
        <v>2025.0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4">
        <v>223.0</v>
      </c>
      <c r="B224" s="6" t="s">
        <v>357</v>
      </c>
      <c r="C224" s="7">
        <v>10.0</v>
      </c>
      <c r="D224" s="7" t="s">
        <v>123</v>
      </c>
      <c r="E224" s="7" t="s">
        <v>358</v>
      </c>
      <c r="F224" s="24" t="s">
        <v>359</v>
      </c>
      <c r="G224" s="10">
        <v>2025.0</v>
      </c>
      <c r="H224" s="25" t="s">
        <v>360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6">
        <v>224.0</v>
      </c>
      <c r="B225" s="6" t="s">
        <v>361</v>
      </c>
      <c r="C225" s="7">
        <v>5.5</v>
      </c>
      <c r="D225" s="7" t="s">
        <v>9</v>
      </c>
      <c r="E225" s="7" t="s">
        <v>300</v>
      </c>
      <c r="F225" s="9"/>
      <c r="G225" s="10">
        <v>2025.0</v>
      </c>
      <c r="H225" s="25" t="s">
        <v>89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4">
        <v>225.0</v>
      </c>
      <c r="B226" s="6" t="s">
        <v>362</v>
      </c>
      <c r="C226" s="7">
        <v>30.42</v>
      </c>
      <c r="D226" s="7" t="s">
        <v>172</v>
      </c>
      <c r="E226" s="7" t="s">
        <v>44</v>
      </c>
      <c r="F226" s="24" t="s">
        <v>363</v>
      </c>
      <c r="G226" s="10">
        <v>2025.0</v>
      </c>
      <c r="H226" s="25" t="s">
        <v>89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6">
        <v>226.0</v>
      </c>
      <c r="B227" s="6" t="s">
        <v>364</v>
      </c>
      <c r="C227" s="7">
        <v>30.0</v>
      </c>
      <c r="D227" s="7" t="s">
        <v>365</v>
      </c>
      <c r="E227" s="7" t="s">
        <v>289</v>
      </c>
      <c r="F227" s="9"/>
      <c r="G227" s="10">
        <v>2025.0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6">
        <v>227.0</v>
      </c>
      <c r="B228" s="6" t="s">
        <v>366</v>
      </c>
      <c r="C228" s="7">
        <v>8.0</v>
      </c>
      <c r="D228" s="7" t="s">
        <v>86</v>
      </c>
      <c r="E228" s="7" t="s">
        <v>94</v>
      </c>
      <c r="F228" s="9"/>
      <c r="G228" s="10">
        <v>2025.0</v>
      </c>
      <c r="H228" s="25" t="s">
        <v>89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6">
        <v>228.0</v>
      </c>
      <c r="B229" s="6" t="s">
        <v>367</v>
      </c>
      <c r="C229" s="7">
        <v>4.2</v>
      </c>
      <c r="D229" s="7" t="s">
        <v>9</v>
      </c>
      <c r="E229" s="7" t="s">
        <v>50</v>
      </c>
      <c r="F229" s="9"/>
      <c r="G229" s="10">
        <v>2025.0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1">
        <v>229.0</v>
      </c>
      <c r="B230" s="6" t="s">
        <v>368</v>
      </c>
      <c r="C230" s="7">
        <v>1.2</v>
      </c>
      <c r="D230" s="7" t="s">
        <v>9</v>
      </c>
      <c r="E230" s="7" t="s">
        <v>50</v>
      </c>
      <c r="F230" s="9"/>
      <c r="G230" s="10">
        <v>2025.0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6">
        <v>230.0</v>
      </c>
      <c r="B231" s="6" t="s">
        <v>369</v>
      </c>
      <c r="C231" s="7">
        <v>1.8</v>
      </c>
      <c r="D231" s="7" t="s">
        <v>9</v>
      </c>
      <c r="E231" s="7" t="s">
        <v>36</v>
      </c>
      <c r="F231" s="9"/>
      <c r="G231" s="10">
        <v>2025.0</v>
      </c>
      <c r="H231" s="25" t="s">
        <v>89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6">
        <v>231.0</v>
      </c>
      <c r="B232" s="6" t="s">
        <v>370</v>
      </c>
      <c r="C232" s="7">
        <v>6.3</v>
      </c>
      <c r="D232" s="7" t="s">
        <v>86</v>
      </c>
      <c r="E232" s="7" t="s">
        <v>65</v>
      </c>
      <c r="F232" s="9"/>
      <c r="G232" s="10">
        <v>2025.0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6">
        <v>232.0</v>
      </c>
      <c r="B233" s="6" t="s">
        <v>371</v>
      </c>
      <c r="C233" s="7">
        <v>4.2</v>
      </c>
      <c r="D233" s="7" t="s">
        <v>9</v>
      </c>
      <c r="E233" s="7" t="s">
        <v>275</v>
      </c>
      <c r="F233" s="9"/>
      <c r="G233" s="10">
        <v>2025.0</v>
      </c>
      <c r="H233" s="25" t="s">
        <v>89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6">
        <v>233.0</v>
      </c>
      <c r="B234" s="6" t="s">
        <v>372</v>
      </c>
      <c r="C234" s="7">
        <v>35.2</v>
      </c>
      <c r="D234" s="7" t="s">
        <v>172</v>
      </c>
      <c r="E234" s="7" t="s">
        <v>50</v>
      </c>
      <c r="F234" s="24" t="s">
        <v>373</v>
      </c>
      <c r="G234" s="10">
        <v>2025.0</v>
      </c>
      <c r="H234" s="25" t="s">
        <v>89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4">
        <v>234.0</v>
      </c>
      <c r="B235" s="6" t="s">
        <v>374</v>
      </c>
      <c r="C235" s="7">
        <v>15.0</v>
      </c>
      <c r="D235" s="7" t="s">
        <v>86</v>
      </c>
      <c r="E235" s="7" t="s">
        <v>375</v>
      </c>
      <c r="F235" s="9"/>
      <c r="G235" s="10">
        <v>2025.0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6">
        <v>235.0</v>
      </c>
      <c r="B236" s="6" t="s">
        <v>376</v>
      </c>
      <c r="C236" s="7">
        <v>3.0</v>
      </c>
      <c r="D236" s="7" t="s">
        <v>9</v>
      </c>
      <c r="E236" s="7" t="s">
        <v>16</v>
      </c>
      <c r="F236" s="9"/>
      <c r="G236" s="10">
        <v>2025.0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4">
        <v>236.0</v>
      </c>
      <c r="B237" s="6" t="s">
        <v>377</v>
      </c>
      <c r="C237" s="7">
        <v>10.0</v>
      </c>
      <c r="D237" s="7" t="s">
        <v>86</v>
      </c>
      <c r="E237" s="7" t="s">
        <v>378</v>
      </c>
      <c r="F237" s="24" t="s">
        <v>379</v>
      </c>
      <c r="G237" s="10">
        <v>2025.0</v>
      </c>
      <c r="H237" s="25" t="s">
        <v>89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4">
        <v>237.0</v>
      </c>
      <c r="B238" s="6" t="s">
        <v>380</v>
      </c>
      <c r="C238" s="7">
        <v>7.2</v>
      </c>
      <c r="D238" s="7" t="s">
        <v>172</v>
      </c>
      <c r="E238" s="7" t="s">
        <v>16</v>
      </c>
      <c r="F238" s="24" t="s">
        <v>381</v>
      </c>
      <c r="G238" s="10">
        <v>2025.0</v>
      </c>
      <c r="H238" s="25" t="s">
        <v>89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6">
        <v>238.0</v>
      </c>
      <c r="B239" s="6" t="s">
        <v>382</v>
      </c>
      <c r="C239" s="7">
        <v>9.9</v>
      </c>
      <c r="D239" s="7" t="s">
        <v>9</v>
      </c>
      <c r="E239" s="7" t="s">
        <v>383</v>
      </c>
      <c r="F239" s="9"/>
      <c r="G239" s="10">
        <v>2025.0</v>
      </c>
      <c r="H239" s="25" t="s">
        <v>89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6">
        <v>239.0</v>
      </c>
      <c r="B240" s="6" t="s">
        <v>384</v>
      </c>
      <c r="C240" s="7">
        <v>8.6</v>
      </c>
      <c r="D240" s="7" t="s">
        <v>9</v>
      </c>
      <c r="E240" s="7" t="s">
        <v>309</v>
      </c>
      <c r="F240" s="9"/>
      <c r="G240" s="10">
        <v>2025.0</v>
      </c>
      <c r="H240" s="25" t="s">
        <v>89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1">
        <v>240.0</v>
      </c>
      <c r="B241" s="6" t="s">
        <v>385</v>
      </c>
      <c r="C241" s="7">
        <v>6.6</v>
      </c>
      <c r="D241" s="7" t="s">
        <v>86</v>
      </c>
      <c r="E241" s="7" t="s">
        <v>44</v>
      </c>
      <c r="F241" s="9"/>
      <c r="G241" s="10">
        <v>2025.0</v>
      </c>
      <c r="H241" s="25" t="s">
        <v>89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6">
        <v>241.0</v>
      </c>
      <c r="B242" s="6" t="s">
        <v>386</v>
      </c>
      <c r="C242" s="7">
        <v>8.6</v>
      </c>
      <c r="D242" s="7" t="s">
        <v>9</v>
      </c>
      <c r="E242" s="7" t="s">
        <v>387</v>
      </c>
      <c r="F242" s="9"/>
      <c r="G242" s="10">
        <v>2025.0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6">
        <v>242.0</v>
      </c>
      <c r="B243" s="6" t="s">
        <v>388</v>
      </c>
      <c r="C243" s="7">
        <v>16.0</v>
      </c>
      <c r="D243" s="7" t="s">
        <v>86</v>
      </c>
      <c r="E243" s="7" t="s">
        <v>389</v>
      </c>
      <c r="F243" s="9"/>
      <c r="G243" s="10">
        <v>2025.0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6">
        <v>243.0</v>
      </c>
      <c r="B244" s="6" t="s">
        <v>390</v>
      </c>
      <c r="C244" s="7">
        <v>161.0</v>
      </c>
      <c r="D244" s="7" t="s">
        <v>9</v>
      </c>
      <c r="E244" s="7" t="s">
        <v>116</v>
      </c>
      <c r="F244" s="24" t="s">
        <v>391</v>
      </c>
      <c r="G244" s="10">
        <v>2025.0</v>
      </c>
      <c r="H244" s="25" t="s">
        <v>89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1">
        <v>244.0</v>
      </c>
      <c r="B245" s="6" t="s">
        <v>392</v>
      </c>
      <c r="C245" s="7">
        <v>2.4</v>
      </c>
      <c r="D245" s="7" t="s">
        <v>86</v>
      </c>
      <c r="E245" s="7" t="s">
        <v>393</v>
      </c>
      <c r="F245" s="9"/>
      <c r="G245" s="10">
        <v>2026.0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4">
        <v>245.0</v>
      </c>
      <c r="B246" s="6" t="s">
        <v>394</v>
      </c>
      <c r="C246" s="7">
        <v>7.7</v>
      </c>
      <c r="D246" s="7" t="s">
        <v>86</v>
      </c>
      <c r="E246" s="7" t="s">
        <v>42</v>
      </c>
      <c r="F246" s="9"/>
      <c r="G246" s="10">
        <v>2026.0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4">
        <v>246.0</v>
      </c>
      <c r="B247" s="6" t="s">
        <v>395</v>
      </c>
      <c r="C247" s="7">
        <v>3.3</v>
      </c>
      <c r="D247" s="7" t="s">
        <v>9</v>
      </c>
      <c r="E247" s="7" t="s">
        <v>396</v>
      </c>
      <c r="F247" s="24" t="s">
        <v>397</v>
      </c>
      <c r="G247" s="10">
        <v>2026.0</v>
      </c>
      <c r="H247" s="25" t="s">
        <v>89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4">
        <v>247.0</v>
      </c>
      <c r="B248" s="6" t="s">
        <v>398</v>
      </c>
      <c r="C248" s="7">
        <v>10.0</v>
      </c>
      <c r="D248" s="7" t="s">
        <v>9</v>
      </c>
      <c r="E248" s="7" t="s">
        <v>399</v>
      </c>
      <c r="F248" s="24" t="s">
        <v>400</v>
      </c>
      <c r="G248" s="10">
        <v>2026.0</v>
      </c>
      <c r="H248" s="25" t="s">
        <v>89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6">
        <v>248.0</v>
      </c>
      <c r="B249" s="6" t="s">
        <v>401</v>
      </c>
      <c r="C249" s="7">
        <v>5.5</v>
      </c>
      <c r="D249" s="7" t="s">
        <v>86</v>
      </c>
      <c r="E249" s="7" t="s">
        <v>40</v>
      </c>
      <c r="F249" s="24" t="s">
        <v>402</v>
      </c>
      <c r="G249" s="10">
        <v>2026.0</v>
      </c>
      <c r="H249" s="25" t="s">
        <v>89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4">
        <v>249.0</v>
      </c>
      <c r="B250" s="6" t="s">
        <v>403</v>
      </c>
      <c r="C250" s="7">
        <v>4.4</v>
      </c>
      <c r="D250" s="7" t="s">
        <v>86</v>
      </c>
      <c r="E250" s="7" t="s">
        <v>272</v>
      </c>
      <c r="F250" s="24" t="s">
        <v>404</v>
      </c>
      <c r="G250" s="10">
        <v>2026.0</v>
      </c>
      <c r="H250" s="25" t="s">
        <v>89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6">
        <v>250.0</v>
      </c>
      <c r="B251" s="6" t="s">
        <v>405</v>
      </c>
      <c r="C251" s="7">
        <v>3.0</v>
      </c>
      <c r="D251" s="7" t="s">
        <v>9</v>
      </c>
      <c r="E251" s="7" t="s">
        <v>24</v>
      </c>
      <c r="F251" s="24" t="s">
        <v>406</v>
      </c>
      <c r="G251" s="10">
        <v>2026.0</v>
      </c>
      <c r="H251" s="25" t="s">
        <v>89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1">
        <v>251.0</v>
      </c>
      <c r="B252" s="6" t="s">
        <v>407</v>
      </c>
      <c r="C252" s="7">
        <v>3.0</v>
      </c>
      <c r="D252" s="7" t="s">
        <v>9</v>
      </c>
      <c r="E252" s="7" t="s">
        <v>24</v>
      </c>
      <c r="F252" s="24" t="s">
        <v>408</v>
      </c>
      <c r="G252" s="10">
        <v>2026.0</v>
      </c>
      <c r="H252" s="25" t="s">
        <v>89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4">
        <v>252.0</v>
      </c>
      <c r="B253" s="6" t="s">
        <v>409</v>
      </c>
      <c r="C253" s="7">
        <v>4.8</v>
      </c>
      <c r="D253" s="7" t="s">
        <v>9</v>
      </c>
      <c r="E253" s="7" t="s">
        <v>410</v>
      </c>
      <c r="F253" s="24" t="s">
        <v>411</v>
      </c>
      <c r="G253" s="10">
        <v>2026.0</v>
      </c>
      <c r="H253" s="25" t="s">
        <v>89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6">
        <v>253.0</v>
      </c>
      <c r="B254" s="6" t="s">
        <v>412</v>
      </c>
      <c r="C254" s="7">
        <v>4.4</v>
      </c>
      <c r="D254" s="7" t="s">
        <v>172</v>
      </c>
      <c r="E254" s="7" t="s">
        <v>24</v>
      </c>
      <c r="F254" s="41" t="s">
        <v>413</v>
      </c>
      <c r="G254" s="10">
        <v>2026.0</v>
      </c>
      <c r="H254" s="25" t="s">
        <v>89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6">
        <v>254.0</v>
      </c>
      <c r="B255" s="6" t="s">
        <v>414</v>
      </c>
      <c r="C255" s="7">
        <v>36.0</v>
      </c>
      <c r="D255" s="7" t="s">
        <v>365</v>
      </c>
      <c r="E255" s="7" t="s">
        <v>415</v>
      </c>
      <c r="F255" s="24" t="s">
        <v>416</v>
      </c>
      <c r="G255" s="10">
        <v>2026.0</v>
      </c>
      <c r="H255" s="25" t="s">
        <v>417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6">
        <v>255.0</v>
      </c>
      <c r="B256" s="6" t="s">
        <v>418</v>
      </c>
      <c r="C256" s="7">
        <v>72.0</v>
      </c>
      <c r="D256" s="7" t="s">
        <v>123</v>
      </c>
      <c r="E256" s="7" t="s">
        <v>350</v>
      </c>
      <c r="F256" s="24" t="s">
        <v>419</v>
      </c>
      <c r="G256" s="10">
        <v>2026.0</v>
      </c>
      <c r="H256" s="25" t="s">
        <v>360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6">
        <v>256.0</v>
      </c>
      <c r="B257" s="6" t="s">
        <v>420</v>
      </c>
      <c r="C257" s="7">
        <v>5.0</v>
      </c>
      <c r="D257" s="7" t="s">
        <v>365</v>
      </c>
      <c r="E257" s="7" t="s">
        <v>20</v>
      </c>
      <c r="F257" s="24" t="s">
        <v>421</v>
      </c>
      <c r="G257" s="25">
        <v>2026.0</v>
      </c>
      <c r="H257" s="25" t="s">
        <v>422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6">
        <v>257.0</v>
      </c>
      <c r="B258" s="6" t="s">
        <v>84</v>
      </c>
      <c r="C258" s="7">
        <v>6.0</v>
      </c>
      <c r="D258" s="7" t="s">
        <v>365</v>
      </c>
      <c r="E258" s="7" t="s">
        <v>80</v>
      </c>
      <c r="F258" s="24" t="s">
        <v>423</v>
      </c>
      <c r="G258" s="25">
        <v>2026.0</v>
      </c>
      <c r="H258" s="25" t="s">
        <v>422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6">
        <v>258.0</v>
      </c>
      <c r="B259" s="6" t="s">
        <v>424</v>
      </c>
      <c r="C259" s="7">
        <v>5.0</v>
      </c>
      <c r="D259" s="7" t="s">
        <v>365</v>
      </c>
      <c r="E259" s="7" t="s">
        <v>425</v>
      </c>
      <c r="F259" s="24" t="s">
        <v>426</v>
      </c>
      <c r="G259" s="25">
        <v>2026.0</v>
      </c>
      <c r="H259" s="25" t="s">
        <v>427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6">
        <v>259.0</v>
      </c>
      <c r="B260" s="6" t="s">
        <v>428</v>
      </c>
      <c r="C260" s="7">
        <v>3.0</v>
      </c>
      <c r="D260" s="7" t="s">
        <v>365</v>
      </c>
      <c r="E260" s="7" t="s">
        <v>280</v>
      </c>
      <c r="F260" s="24" t="s">
        <v>429</v>
      </c>
      <c r="G260" s="25">
        <v>2026.0</v>
      </c>
      <c r="H260" s="25" t="s">
        <v>89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6">
        <v>260.0</v>
      </c>
      <c r="B261" s="6" t="s">
        <v>430</v>
      </c>
      <c r="C261" s="7">
        <v>11.0</v>
      </c>
      <c r="D261" s="7" t="s">
        <v>86</v>
      </c>
      <c r="E261" s="7" t="s">
        <v>42</v>
      </c>
      <c r="F261" s="24" t="s">
        <v>431</v>
      </c>
      <c r="G261" s="25">
        <v>2026.0</v>
      </c>
      <c r="H261" s="25" t="s">
        <v>89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6">
        <v>261.0</v>
      </c>
      <c r="B262" s="6" t="s">
        <v>432</v>
      </c>
      <c r="C262" s="7">
        <v>5.0</v>
      </c>
      <c r="D262" s="7" t="s">
        <v>365</v>
      </c>
      <c r="E262" s="7" t="s">
        <v>75</v>
      </c>
      <c r="F262" s="24" t="s">
        <v>433</v>
      </c>
      <c r="G262" s="25">
        <v>2026.0</v>
      </c>
      <c r="H262" s="25" t="s">
        <v>89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6">
        <v>262.0</v>
      </c>
      <c r="B263" s="6" t="s">
        <v>434</v>
      </c>
      <c r="C263" s="7">
        <v>7.0</v>
      </c>
      <c r="D263" s="7" t="s">
        <v>365</v>
      </c>
      <c r="E263" s="7" t="s">
        <v>75</v>
      </c>
      <c r="F263" s="24" t="s">
        <v>435</v>
      </c>
      <c r="G263" s="25">
        <v>2026.0</v>
      </c>
      <c r="H263" s="25" t="s">
        <v>89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6">
        <v>263.0</v>
      </c>
      <c r="B264" s="6" t="s">
        <v>436</v>
      </c>
      <c r="C264" s="7">
        <v>2.3</v>
      </c>
      <c r="D264" s="7" t="s">
        <v>365</v>
      </c>
      <c r="E264" s="7" t="s">
        <v>75</v>
      </c>
      <c r="F264" s="24" t="s">
        <v>437</v>
      </c>
      <c r="G264" s="25">
        <v>2026.0</v>
      </c>
      <c r="H264" s="25" t="s">
        <v>89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6">
        <v>264.0</v>
      </c>
      <c r="B265" s="6" t="s">
        <v>438</v>
      </c>
      <c r="C265" s="7">
        <v>2.3</v>
      </c>
      <c r="D265" s="7" t="s">
        <v>365</v>
      </c>
      <c r="E265" s="7" t="s">
        <v>75</v>
      </c>
      <c r="F265" s="24" t="s">
        <v>439</v>
      </c>
      <c r="G265" s="25">
        <v>2026.0</v>
      </c>
      <c r="H265" s="25" t="s">
        <v>89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6">
        <v>265.0</v>
      </c>
      <c r="B266" s="6" t="s">
        <v>440</v>
      </c>
      <c r="C266" s="7">
        <v>5.0</v>
      </c>
      <c r="D266" s="7" t="s">
        <v>365</v>
      </c>
      <c r="E266" s="7" t="s">
        <v>75</v>
      </c>
      <c r="F266" s="24" t="s">
        <v>441</v>
      </c>
      <c r="G266" s="25">
        <v>2026.0</v>
      </c>
      <c r="H266" s="25" t="s">
        <v>89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6">
        <v>266.0</v>
      </c>
      <c r="B267" s="6" t="s">
        <v>442</v>
      </c>
      <c r="C267" s="7">
        <v>18.0</v>
      </c>
      <c r="D267" s="7" t="s">
        <v>365</v>
      </c>
      <c r="E267" s="7" t="s">
        <v>194</v>
      </c>
      <c r="F267" s="24" t="s">
        <v>443</v>
      </c>
      <c r="G267" s="25">
        <v>2026.0</v>
      </c>
      <c r="H267" s="25" t="s">
        <v>89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1"/>
      <c r="B268" s="11"/>
      <c r="C268" s="12"/>
      <c r="D268" s="12"/>
      <c r="E268" s="12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1"/>
      <c r="B269" s="11"/>
      <c r="C269" s="12"/>
      <c r="D269" s="12"/>
      <c r="E269" s="12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1"/>
      <c r="B270" s="11"/>
      <c r="C270" s="12"/>
      <c r="D270" s="12"/>
      <c r="E270" s="12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1"/>
      <c r="B271" s="11"/>
      <c r="C271" s="12"/>
      <c r="D271" s="12"/>
      <c r="E271" s="12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1"/>
      <c r="B272" s="11"/>
      <c r="C272" s="12"/>
      <c r="D272" s="12"/>
      <c r="E272" s="12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1"/>
      <c r="B273" s="11"/>
      <c r="C273" s="12"/>
      <c r="D273" s="12"/>
      <c r="E273" s="12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1"/>
      <c r="B274" s="11"/>
      <c r="C274" s="12"/>
      <c r="D274" s="12"/>
      <c r="E274" s="12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1"/>
      <c r="B275" s="11"/>
      <c r="C275" s="12"/>
      <c r="D275" s="12"/>
      <c r="E275" s="12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1"/>
      <c r="B276" s="11"/>
      <c r="C276" s="12"/>
      <c r="D276" s="12"/>
      <c r="E276" s="12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1"/>
      <c r="B277" s="11"/>
      <c r="C277" s="12"/>
      <c r="D277" s="12"/>
      <c r="E277" s="12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1"/>
      <c r="B278" s="11"/>
      <c r="C278" s="12"/>
      <c r="D278" s="12"/>
      <c r="E278" s="12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1"/>
      <c r="B279" s="11"/>
      <c r="C279" s="12"/>
      <c r="D279" s="12"/>
      <c r="E279" s="12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1"/>
      <c r="B280" s="11"/>
      <c r="C280" s="12"/>
      <c r="D280" s="12"/>
      <c r="E280" s="12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1"/>
      <c r="B281" s="11"/>
      <c r="C281" s="12"/>
      <c r="D281" s="12"/>
      <c r="E281" s="12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1"/>
      <c r="B282" s="11"/>
      <c r="C282" s="12"/>
      <c r="D282" s="12"/>
      <c r="E282" s="12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1"/>
      <c r="B283" s="11"/>
      <c r="C283" s="12"/>
      <c r="D283" s="12"/>
      <c r="E283" s="12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1"/>
      <c r="B284" s="11"/>
      <c r="C284" s="12"/>
      <c r="D284" s="12"/>
      <c r="E284" s="12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1"/>
      <c r="B285" s="11"/>
      <c r="C285" s="12"/>
      <c r="D285" s="12"/>
      <c r="E285" s="12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1"/>
      <c r="B286" s="11"/>
      <c r="C286" s="12"/>
      <c r="D286" s="12"/>
      <c r="E286" s="12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1"/>
      <c r="B287" s="11"/>
      <c r="C287" s="12"/>
      <c r="D287" s="12"/>
      <c r="E287" s="12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1"/>
      <c r="B288" s="11"/>
      <c r="C288" s="12"/>
      <c r="D288" s="12"/>
      <c r="E288" s="12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1"/>
      <c r="B289" s="11"/>
      <c r="C289" s="12"/>
      <c r="D289" s="12"/>
      <c r="E289" s="12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1"/>
      <c r="B290" s="11"/>
      <c r="C290" s="12"/>
      <c r="D290" s="12"/>
      <c r="E290" s="12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1"/>
      <c r="B291" s="11"/>
      <c r="C291" s="12"/>
      <c r="D291" s="12"/>
      <c r="E291" s="12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1"/>
      <c r="B292" s="11"/>
      <c r="C292" s="12"/>
      <c r="D292" s="12"/>
      <c r="E292" s="12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1"/>
      <c r="B293" s="11"/>
      <c r="C293" s="12"/>
      <c r="D293" s="12"/>
      <c r="E293" s="12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1"/>
      <c r="B294" s="11"/>
      <c r="C294" s="12"/>
      <c r="D294" s="12"/>
      <c r="E294" s="12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1"/>
      <c r="B295" s="11"/>
      <c r="C295" s="12"/>
      <c r="D295" s="12"/>
      <c r="E295" s="12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1"/>
      <c r="B296" s="11"/>
      <c r="C296" s="12"/>
      <c r="D296" s="12"/>
      <c r="E296" s="12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1"/>
      <c r="B297" s="11"/>
      <c r="C297" s="12"/>
      <c r="D297" s="12"/>
      <c r="E297" s="12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1"/>
      <c r="B298" s="11"/>
      <c r="C298" s="12"/>
      <c r="D298" s="12"/>
      <c r="E298" s="12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1"/>
      <c r="B299" s="11"/>
      <c r="C299" s="12"/>
      <c r="D299" s="12"/>
      <c r="E299" s="12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1"/>
      <c r="B300" s="11"/>
      <c r="C300" s="12"/>
      <c r="D300" s="12"/>
      <c r="E300" s="12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1"/>
      <c r="B301" s="11"/>
      <c r="C301" s="12"/>
      <c r="D301" s="12"/>
      <c r="E301" s="12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1"/>
      <c r="B302" s="11"/>
      <c r="C302" s="12"/>
      <c r="D302" s="12"/>
      <c r="E302" s="12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1"/>
      <c r="B303" s="11"/>
      <c r="C303" s="12"/>
      <c r="D303" s="12"/>
      <c r="E303" s="12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1"/>
      <c r="B304" s="11"/>
      <c r="C304" s="12"/>
      <c r="D304" s="12"/>
      <c r="E304" s="12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1"/>
      <c r="B305" s="11"/>
      <c r="C305" s="12"/>
      <c r="D305" s="12"/>
      <c r="E305" s="12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1"/>
      <c r="B306" s="11"/>
      <c r="C306" s="12"/>
      <c r="D306" s="12"/>
      <c r="E306" s="12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1"/>
      <c r="B307" s="11"/>
      <c r="C307" s="12"/>
      <c r="D307" s="12"/>
      <c r="E307" s="12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1"/>
      <c r="B308" s="11"/>
      <c r="C308" s="12"/>
      <c r="D308" s="12"/>
      <c r="E308" s="12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1"/>
      <c r="B309" s="11"/>
      <c r="C309" s="12"/>
      <c r="D309" s="12"/>
      <c r="E309" s="12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1"/>
      <c r="B310" s="11"/>
      <c r="C310" s="12"/>
      <c r="D310" s="12"/>
      <c r="E310" s="12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1"/>
      <c r="B311" s="11"/>
      <c r="C311" s="12"/>
      <c r="D311" s="12"/>
      <c r="E311" s="12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1"/>
      <c r="B312" s="11"/>
      <c r="C312" s="12"/>
      <c r="D312" s="12"/>
      <c r="E312" s="12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1"/>
      <c r="B313" s="11"/>
      <c r="C313" s="12"/>
      <c r="D313" s="12"/>
      <c r="E313" s="12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1"/>
      <c r="B314" s="11"/>
      <c r="C314" s="12"/>
      <c r="D314" s="12"/>
      <c r="E314" s="12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1"/>
      <c r="B315" s="11"/>
      <c r="C315" s="12"/>
      <c r="D315" s="12"/>
      <c r="E315" s="12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1"/>
      <c r="B316" s="11"/>
      <c r="C316" s="12"/>
      <c r="D316" s="12"/>
      <c r="E316" s="12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1"/>
      <c r="B317" s="11"/>
      <c r="C317" s="12"/>
      <c r="D317" s="12"/>
      <c r="E317" s="12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1"/>
      <c r="B318" s="11"/>
      <c r="C318" s="12"/>
      <c r="D318" s="12"/>
      <c r="E318" s="12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1"/>
      <c r="B319" s="11"/>
      <c r="C319" s="12"/>
      <c r="D319" s="12"/>
      <c r="E319" s="12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1"/>
      <c r="B320" s="11"/>
      <c r="C320" s="12"/>
      <c r="D320" s="12"/>
      <c r="E320" s="12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1"/>
      <c r="B321" s="11"/>
      <c r="C321" s="12"/>
      <c r="D321" s="12"/>
      <c r="E321" s="12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1"/>
      <c r="B322" s="11"/>
      <c r="C322" s="12"/>
      <c r="D322" s="12"/>
      <c r="E322" s="12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1"/>
      <c r="B323" s="11"/>
      <c r="C323" s="12"/>
      <c r="D323" s="12"/>
      <c r="E323" s="12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1"/>
      <c r="B324" s="11"/>
      <c r="C324" s="12"/>
      <c r="D324" s="12"/>
      <c r="E324" s="12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1"/>
      <c r="B325" s="11"/>
      <c r="C325" s="12"/>
      <c r="D325" s="12"/>
      <c r="E325" s="12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1"/>
      <c r="B326" s="11"/>
      <c r="C326" s="12"/>
      <c r="D326" s="12"/>
      <c r="E326" s="12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1"/>
      <c r="B327" s="11"/>
      <c r="C327" s="12"/>
      <c r="D327" s="12"/>
      <c r="E327" s="12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1"/>
      <c r="B328" s="11"/>
      <c r="C328" s="12"/>
      <c r="D328" s="12"/>
      <c r="E328" s="12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1"/>
      <c r="B329" s="11"/>
      <c r="C329" s="12"/>
      <c r="D329" s="12"/>
      <c r="E329" s="12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1"/>
      <c r="B330" s="11"/>
      <c r="C330" s="12"/>
      <c r="D330" s="12"/>
      <c r="E330" s="12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1"/>
      <c r="B331" s="11"/>
      <c r="C331" s="12"/>
      <c r="D331" s="12"/>
      <c r="E331" s="12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1"/>
      <c r="B332" s="11"/>
      <c r="C332" s="12"/>
      <c r="D332" s="12"/>
      <c r="E332" s="12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1"/>
      <c r="B333" s="11"/>
      <c r="C333" s="12"/>
      <c r="D333" s="12"/>
      <c r="E333" s="12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1"/>
      <c r="B334" s="11"/>
      <c r="C334" s="12"/>
      <c r="D334" s="12"/>
      <c r="E334" s="12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1"/>
      <c r="B335" s="11"/>
      <c r="C335" s="12"/>
      <c r="D335" s="12"/>
      <c r="E335" s="12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1"/>
      <c r="B336" s="11"/>
      <c r="C336" s="12"/>
      <c r="D336" s="12"/>
      <c r="E336" s="12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1"/>
      <c r="B337" s="11"/>
      <c r="C337" s="12"/>
      <c r="D337" s="12"/>
      <c r="E337" s="12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1"/>
      <c r="B338" s="11"/>
      <c r="C338" s="12"/>
      <c r="D338" s="12"/>
      <c r="E338" s="12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1"/>
      <c r="B339" s="11"/>
      <c r="C339" s="12"/>
      <c r="D339" s="12"/>
      <c r="E339" s="12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1"/>
      <c r="B340" s="11"/>
      <c r="C340" s="12"/>
      <c r="D340" s="12"/>
      <c r="E340" s="12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1"/>
      <c r="B341" s="11"/>
      <c r="C341" s="12"/>
      <c r="D341" s="12"/>
      <c r="E341" s="12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1"/>
      <c r="B342" s="11"/>
      <c r="C342" s="12"/>
      <c r="D342" s="12"/>
      <c r="E342" s="12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1"/>
      <c r="B343" s="11"/>
      <c r="C343" s="12"/>
      <c r="D343" s="12"/>
      <c r="E343" s="12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1"/>
      <c r="B344" s="11"/>
      <c r="C344" s="12"/>
      <c r="D344" s="12"/>
      <c r="E344" s="12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1"/>
      <c r="B345" s="11"/>
      <c r="C345" s="12"/>
      <c r="D345" s="12"/>
      <c r="E345" s="12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1"/>
      <c r="B346" s="11"/>
      <c r="C346" s="12"/>
      <c r="D346" s="12"/>
      <c r="E346" s="12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1"/>
      <c r="B347" s="11"/>
      <c r="C347" s="12"/>
      <c r="D347" s="12"/>
      <c r="E347" s="12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1"/>
      <c r="B348" s="11"/>
      <c r="C348" s="12"/>
      <c r="D348" s="12"/>
      <c r="E348" s="12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1"/>
      <c r="B349" s="11"/>
      <c r="C349" s="12"/>
      <c r="D349" s="12"/>
      <c r="E349" s="12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1"/>
      <c r="B350" s="11"/>
      <c r="C350" s="12"/>
      <c r="D350" s="12"/>
      <c r="E350" s="12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1"/>
      <c r="B351" s="11"/>
      <c r="C351" s="12"/>
      <c r="D351" s="12"/>
      <c r="E351" s="12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1"/>
      <c r="B352" s="11"/>
      <c r="C352" s="12"/>
      <c r="D352" s="12"/>
      <c r="E352" s="12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1"/>
      <c r="B353" s="11"/>
      <c r="C353" s="12"/>
      <c r="D353" s="12"/>
      <c r="E353" s="12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1"/>
      <c r="B354" s="11"/>
      <c r="C354" s="12"/>
      <c r="D354" s="12"/>
      <c r="E354" s="12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1"/>
      <c r="B355" s="11"/>
      <c r="C355" s="12"/>
      <c r="D355" s="12"/>
      <c r="E355" s="12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1"/>
      <c r="B356" s="11"/>
      <c r="C356" s="12"/>
      <c r="D356" s="12"/>
      <c r="E356" s="12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1"/>
      <c r="B357" s="11"/>
      <c r="C357" s="12"/>
      <c r="D357" s="12"/>
      <c r="E357" s="12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1"/>
      <c r="B358" s="11"/>
      <c r="C358" s="12"/>
      <c r="D358" s="12"/>
      <c r="E358" s="12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1"/>
      <c r="B359" s="11"/>
      <c r="C359" s="12"/>
      <c r="D359" s="12"/>
      <c r="E359" s="12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1"/>
      <c r="B360" s="11"/>
      <c r="C360" s="12"/>
      <c r="D360" s="12"/>
      <c r="E360" s="12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1"/>
      <c r="B361" s="11"/>
      <c r="C361" s="12"/>
      <c r="D361" s="12"/>
      <c r="E361" s="12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1"/>
      <c r="B362" s="11"/>
      <c r="C362" s="12"/>
      <c r="D362" s="12"/>
      <c r="E362" s="12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1"/>
      <c r="B363" s="11"/>
      <c r="C363" s="12"/>
      <c r="D363" s="12"/>
      <c r="E363" s="12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1"/>
      <c r="B364" s="11"/>
      <c r="C364" s="12"/>
      <c r="D364" s="12"/>
      <c r="E364" s="12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1"/>
      <c r="B365" s="11"/>
      <c r="C365" s="12"/>
      <c r="D365" s="12"/>
      <c r="E365" s="12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1"/>
      <c r="B366" s="11"/>
      <c r="C366" s="12"/>
      <c r="D366" s="12"/>
      <c r="E366" s="12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1"/>
      <c r="B367" s="11"/>
      <c r="C367" s="12"/>
      <c r="D367" s="12"/>
      <c r="E367" s="12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1"/>
      <c r="B368" s="11"/>
      <c r="C368" s="12"/>
      <c r="D368" s="12"/>
      <c r="E368" s="12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1"/>
      <c r="B369" s="11"/>
      <c r="C369" s="12"/>
      <c r="D369" s="12"/>
      <c r="E369" s="12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1"/>
      <c r="B370" s="11"/>
      <c r="C370" s="12"/>
      <c r="D370" s="12"/>
      <c r="E370" s="12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1"/>
      <c r="B371" s="11"/>
      <c r="C371" s="12"/>
      <c r="D371" s="12"/>
      <c r="E371" s="12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1"/>
      <c r="B372" s="11"/>
      <c r="C372" s="12"/>
      <c r="D372" s="12"/>
      <c r="E372" s="12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1"/>
      <c r="B373" s="11"/>
      <c r="C373" s="12"/>
      <c r="D373" s="12"/>
      <c r="E373" s="12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1"/>
      <c r="B374" s="11"/>
      <c r="C374" s="12"/>
      <c r="D374" s="12"/>
      <c r="E374" s="12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1"/>
      <c r="B375" s="11"/>
      <c r="C375" s="12"/>
      <c r="D375" s="12"/>
      <c r="E375" s="12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1"/>
      <c r="B376" s="11"/>
      <c r="C376" s="12"/>
      <c r="D376" s="12"/>
      <c r="E376" s="12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1"/>
      <c r="B377" s="11"/>
      <c r="C377" s="12"/>
      <c r="D377" s="12"/>
      <c r="E377" s="12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1"/>
      <c r="B378" s="11"/>
      <c r="C378" s="12"/>
      <c r="D378" s="12"/>
      <c r="E378" s="12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1"/>
      <c r="B379" s="11"/>
      <c r="C379" s="12"/>
      <c r="D379" s="12"/>
      <c r="E379" s="12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1"/>
      <c r="B380" s="11"/>
      <c r="C380" s="12"/>
      <c r="D380" s="12"/>
      <c r="E380" s="12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1"/>
      <c r="B381" s="11"/>
      <c r="C381" s="12"/>
      <c r="D381" s="12"/>
      <c r="E381" s="12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1"/>
      <c r="B382" s="11"/>
      <c r="C382" s="12"/>
      <c r="D382" s="12"/>
      <c r="E382" s="12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1"/>
      <c r="B383" s="11"/>
      <c r="C383" s="12"/>
      <c r="D383" s="12"/>
      <c r="E383" s="12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1"/>
      <c r="B384" s="11"/>
      <c r="C384" s="12"/>
      <c r="D384" s="12"/>
      <c r="E384" s="12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1"/>
      <c r="B385" s="11"/>
      <c r="C385" s="12"/>
      <c r="D385" s="12"/>
      <c r="E385" s="12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1"/>
      <c r="B386" s="11"/>
      <c r="C386" s="12"/>
      <c r="D386" s="12"/>
      <c r="E386" s="12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1"/>
      <c r="B387" s="11"/>
      <c r="C387" s="12"/>
      <c r="D387" s="12"/>
      <c r="E387" s="12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1"/>
      <c r="B388" s="11"/>
      <c r="C388" s="12"/>
      <c r="D388" s="12"/>
      <c r="E388" s="12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1"/>
      <c r="B389" s="11"/>
      <c r="C389" s="12"/>
      <c r="D389" s="12"/>
      <c r="E389" s="12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1"/>
      <c r="B390" s="11"/>
      <c r="C390" s="12"/>
      <c r="D390" s="12"/>
      <c r="E390" s="12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1"/>
      <c r="B391" s="11"/>
      <c r="C391" s="12"/>
      <c r="D391" s="12"/>
      <c r="E391" s="12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1"/>
      <c r="B392" s="11"/>
      <c r="C392" s="12"/>
      <c r="D392" s="12"/>
      <c r="E392" s="12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1"/>
      <c r="B393" s="11"/>
      <c r="C393" s="12"/>
      <c r="D393" s="12"/>
      <c r="E393" s="12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1"/>
      <c r="B394" s="11"/>
      <c r="C394" s="12"/>
      <c r="D394" s="12"/>
      <c r="E394" s="12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1"/>
      <c r="B395" s="11"/>
      <c r="C395" s="12"/>
      <c r="D395" s="12"/>
      <c r="E395" s="12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1"/>
      <c r="B396" s="11"/>
      <c r="C396" s="12"/>
      <c r="D396" s="12"/>
      <c r="E396" s="12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1"/>
      <c r="B397" s="11"/>
      <c r="C397" s="12"/>
      <c r="D397" s="12"/>
      <c r="E397" s="12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1"/>
      <c r="B398" s="11"/>
      <c r="C398" s="12"/>
      <c r="D398" s="12"/>
      <c r="E398" s="12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1"/>
      <c r="B399" s="11"/>
      <c r="C399" s="12"/>
      <c r="D399" s="12"/>
      <c r="E399" s="12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1"/>
      <c r="B400" s="11"/>
      <c r="C400" s="12"/>
      <c r="D400" s="12"/>
      <c r="E400" s="12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1"/>
      <c r="B401" s="11"/>
      <c r="C401" s="12"/>
      <c r="D401" s="12"/>
      <c r="E401" s="12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1"/>
      <c r="B402" s="11"/>
      <c r="C402" s="12"/>
      <c r="D402" s="12"/>
      <c r="E402" s="12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1"/>
      <c r="B403" s="11"/>
      <c r="C403" s="12"/>
      <c r="D403" s="12"/>
      <c r="E403" s="12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1"/>
      <c r="B404" s="11"/>
      <c r="C404" s="12"/>
      <c r="D404" s="12"/>
      <c r="E404" s="12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1"/>
      <c r="B405" s="11"/>
      <c r="C405" s="12"/>
      <c r="D405" s="12"/>
      <c r="E405" s="12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1"/>
      <c r="B406" s="11"/>
      <c r="C406" s="12"/>
      <c r="D406" s="12"/>
      <c r="E406" s="12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1"/>
      <c r="B407" s="11"/>
      <c r="C407" s="12"/>
      <c r="D407" s="12"/>
      <c r="E407" s="12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1"/>
      <c r="B408" s="11"/>
      <c r="C408" s="12"/>
      <c r="D408" s="12"/>
      <c r="E408" s="12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1"/>
      <c r="B409" s="11"/>
      <c r="C409" s="12"/>
      <c r="D409" s="12"/>
      <c r="E409" s="12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1"/>
      <c r="B410" s="11"/>
      <c r="C410" s="12"/>
      <c r="D410" s="12"/>
      <c r="E410" s="12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1"/>
      <c r="B411" s="11"/>
      <c r="C411" s="12"/>
      <c r="D411" s="12"/>
      <c r="E411" s="12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1"/>
      <c r="B412" s="11"/>
      <c r="C412" s="12"/>
      <c r="D412" s="12"/>
      <c r="E412" s="12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1"/>
      <c r="B413" s="11"/>
      <c r="C413" s="12"/>
      <c r="D413" s="12"/>
      <c r="E413" s="12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1"/>
      <c r="B414" s="11"/>
      <c r="C414" s="12"/>
      <c r="D414" s="12"/>
      <c r="E414" s="12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1"/>
      <c r="B415" s="11"/>
      <c r="C415" s="12"/>
      <c r="D415" s="12"/>
      <c r="E415" s="12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1"/>
      <c r="B416" s="11"/>
      <c r="C416" s="12"/>
      <c r="D416" s="12"/>
      <c r="E416" s="12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1"/>
      <c r="B417" s="11"/>
      <c r="C417" s="12"/>
      <c r="D417" s="12"/>
      <c r="E417" s="12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1"/>
      <c r="B418" s="11"/>
      <c r="C418" s="12"/>
      <c r="D418" s="12"/>
      <c r="E418" s="12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1"/>
      <c r="B419" s="11"/>
      <c r="C419" s="12"/>
      <c r="D419" s="12"/>
      <c r="E419" s="12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1"/>
      <c r="B420" s="11"/>
      <c r="C420" s="12"/>
      <c r="D420" s="12"/>
      <c r="E420" s="12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1"/>
      <c r="B421" s="11"/>
      <c r="C421" s="12"/>
      <c r="D421" s="12"/>
      <c r="E421" s="12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1"/>
      <c r="B422" s="11"/>
      <c r="C422" s="12"/>
      <c r="D422" s="12"/>
      <c r="E422" s="12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1"/>
      <c r="B423" s="11"/>
      <c r="C423" s="12"/>
      <c r="D423" s="12"/>
      <c r="E423" s="12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1"/>
      <c r="B424" s="11"/>
      <c r="C424" s="12"/>
      <c r="D424" s="12"/>
      <c r="E424" s="12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1"/>
      <c r="B425" s="11"/>
      <c r="C425" s="12"/>
      <c r="D425" s="12"/>
      <c r="E425" s="12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1"/>
      <c r="B426" s="11"/>
      <c r="C426" s="12"/>
      <c r="D426" s="12"/>
      <c r="E426" s="12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1"/>
      <c r="B427" s="11"/>
      <c r="C427" s="12"/>
      <c r="D427" s="12"/>
      <c r="E427" s="12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1"/>
      <c r="B428" s="11"/>
      <c r="C428" s="12"/>
      <c r="D428" s="12"/>
      <c r="E428" s="12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1"/>
      <c r="B429" s="11"/>
      <c r="C429" s="12"/>
      <c r="D429" s="12"/>
      <c r="E429" s="12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1"/>
      <c r="B430" s="11"/>
      <c r="C430" s="12"/>
      <c r="D430" s="12"/>
      <c r="E430" s="12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11"/>
      <c r="B431" s="11"/>
      <c r="C431" s="12"/>
      <c r="D431" s="12"/>
      <c r="E431" s="12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11"/>
      <c r="B432" s="11"/>
      <c r="C432" s="12"/>
      <c r="D432" s="12"/>
      <c r="E432" s="12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11"/>
      <c r="B433" s="11"/>
      <c r="C433" s="12"/>
      <c r="D433" s="12"/>
      <c r="E433" s="12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11"/>
      <c r="B434" s="11"/>
      <c r="C434" s="12"/>
      <c r="D434" s="12"/>
      <c r="E434" s="12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11"/>
      <c r="B435" s="11"/>
      <c r="C435" s="12"/>
      <c r="D435" s="12"/>
      <c r="E435" s="12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11"/>
      <c r="B436" s="11"/>
      <c r="C436" s="12"/>
      <c r="D436" s="12"/>
      <c r="E436" s="12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11"/>
      <c r="B437" s="11"/>
      <c r="C437" s="12"/>
      <c r="D437" s="12"/>
      <c r="E437" s="12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11"/>
      <c r="B438" s="11"/>
      <c r="C438" s="12"/>
      <c r="D438" s="12"/>
      <c r="E438" s="12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11"/>
      <c r="B439" s="11"/>
      <c r="C439" s="12"/>
      <c r="D439" s="12"/>
      <c r="E439" s="12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11"/>
      <c r="B440" s="11"/>
      <c r="C440" s="12"/>
      <c r="D440" s="12"/>
      <c r="E440" s="12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11"/>
      <c r="B441" s="11"/>
      <c r="C441" s="12"/>
      <c r="D441" s="12"/>
      <c r="E441" s="12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11"/>
      <c r="B442" s="11"/>
      <c r="C442" s="12"/>
      <c r="D442" s="12"/>
      <c r="E442" s="12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11"/>
      <c r="B443" s="11"/>
      <c r="C443" s="12"/>
      <c r="D443" s="12"/>
      <c r="E443" s="12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11"/>
      <c r="B444" s="11"/>
      <c r="C444" s="12"/>
      <c r="D444" s="12"/>
      <c r="E444" s="12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11"/>
      <c r="B445" s="11"/>
      <c r="C445" s="12"/>
      <c r="D445" s="12"/>
      <c r="E445" s="12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11"/>
      <c r="B446" s="11"/>
      <c r="C446" s="12"/>
      <c r="D446" s="12"/>
      <c r="E446" s="12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11"/>
      <c r="B447" s="11"/>
      <c r="C447" s="12"/>
      <c r="D447" s="12"/>
      <c r="E447" s="12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11"/>
      <c r="B448" s="11"/>
      <c r="C448" s="12"/>
      <c r="D448" s="12"/>
      <c r="E448" s="12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11"/>
      <c r="B449" s="11"/>
      <c r="C449" s="12"/>
      <c r="D449" s="12"/>
      <c r="E449" s="12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11"/>
      <c r="B450" s="11"/>
      <c r="C450" s="12"/>
      <c r="D450" s="12"/>
      <c r="E450" s="12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11"/>
      <c r="B451" s="11"/>
      <c r="C451" s="12"/>
      <c r="D451" s="12"/>
      <c r="E451" s="12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11"/>
      <c r="B452" s="11"/>
      <c r="C452" s="12"/>
      <c r="D452" s="12"/>
      <c r="E452" s="12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11"/>
      <c r="B453" s="11"/>
      <c r="C453" s="12"/>
      <c r="D453" s="12"/>
      <c r="E453" s="12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11"/>
      <c r="B454" s="11"/>
      <c r="C454" s="12"/>
      <c r="D454" s="12"/>
      <c r="E454" s="12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11"/>
      <c r="B455" s="11"/>
      <c r="C455" s="12"/>
      <c r="D455" s="12"/>
      <c r="E455" s="12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11"/>
      <c r="B456" s="11"/>
      <c r="C456" s="12"/>
      <c r="D456" s="12"/>
      <c r="E456" s="12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11"/>
      <c r="B457" s="11"/>
      <c r="C457" s="12"/>
      <c r="D457" s="12"/>
      <c r="E457" s="12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11"/>
      <c r="B458" s="11"/>
      <c r="C458" s="12"/>
      <c r="D458" s="12"/>
      <c r="E458" s="12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11"/>
      <c r="B459" s="11"/>
      <c r="C459" s="12"/>
      <c r="D459" s="12"/>
      <c r="E459" s="12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11"/>
      <c r="B460" s="11"/>
      <c r="C460" s="12"/>
      <c r="D460" s="12"/>
      <c r="E460" s="12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11"/>
      <c r="B461" s="11"/>
      <c r="C461" s="12"/>
      <c r="D461" s="12"/>
      <c r="E461" s="12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11"/>
      <c r="B462" s="11"/>
      <c r="C462" s="12"/>
      <c r="D462" s="12"/>
      <c r="E462" s="12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11"/>
      <c r="B463" s="11"/>
      <c r="C463" s="12"/>
      <c r="D463" s="12"/>
      <c r="E463" s="12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11"/>
      <c r="B464" s="11"/>
      <c r="C464" s="12"/>
      <c r="D464" s="12"/>
      <c r="E464" s="12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11"/>
      <c r="B465" s="11"/>
      <c r="C465" s="12"/>
      <c r="D465" s="12"/>
      <c r="E465" s="12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11"/>
      <c r="B466" s="11"/>
      <c r="C466" s="12"/>
      <c r="D466" s="12"/>
      <c r="E466" s="12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11"/>
      <c r="B467" s="11"/>
      <c r="C467" s="12"/>
      <c r="D467" s="12"/>
      <c r="E467" s="12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11"/>
      <c r="B468" s="11"/>
      <c r="C468" s="12"/>
      <c r="D468" s="12"/>
      <c r="E468" s="12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11"/>
      <c r="B469" s="11"/>
      <c r="C469" s="12"/>
      <c r="D469" s="12"/>
      <c r="E469" s="12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11"/>
      <c r="B470" s="11"/>
      <c r="C470" s="12"/>
      <c r="D470" s="12"/>
      <c r="E470" s="12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11"/>
      <c r="B471" s="11"/>
      <c r="C471" s="12"/>
      <c r="D471" s="12"/>
      <c r="E471" s="12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11"/>
      <c r="B472" s="11"/>
      <c r="C472" s="12"/>
      <c r="D472" s="12"/>
      <c r="E472" s="12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11"/>
      <c r="B473" s="11"/>
      <c r="C473" s="12"/>
      <c r="D473" s="12"/>
      <c r="E473" s="12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11"/>
      <c r="B474" s="11"/>
      <c r="C474" s="12"/>
      <c r="D474" s="12"/>
      <c r="E474" s="12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11"/>
      <c r="B475" s="11"/>
      <c r="C475" s="12"/>
      <c r="D475" s="12"/>
      <c r="E475" s="12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11"/>
      <c r="B476" s="11"/>
      <c r="C476" s="12"/>
      <c r="D476" s="12"/>
      <c r="E476" s="12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11"/>
      <c r="B477" s="11"/>
      <c r="C477" s="12"/>
      <c r="D477" s="12"/>
      <c r="E477" s="12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11"/>
      <c r="B478" s="11"/>
      <c r="C478" s="12"/>
      <c r="D478" s="12"/>
      <c r="E478" s="12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11"/>
      <c r="B479" s="11"/>
      <c r="C479" s="12"/>
      <c r="D479" s="12"/>
      <c r="E479" s="12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11"/>
      <c r="B480" s="11"/>
      <c r="C480" s="12"/>
      <c r="D480" s="12"/>
      <c r="E480" s="12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11"/>
      <c r="B481" s="11"/>
      <c r="C481" s="12"/>
      <c r="D481" s="12"/>
      <c r="E481" s="12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11"/>
      <c r="B482" s="11"/>
      <c r="C482" s="12"/>
      <c r="D482" s="12"/>
      <c r="E482" s="12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11"/>
      <c r="B483" s="11"/>
      <c r="C483" s="12"/>
      <c r="D483" s="12"/>
      <c r="E483" s="12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11"/>
      <c r="B484" s="11"/>
      <c r="C484" s="12"/>
      <c r="D484" s="12"/>
      <c r="E484" s="12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11"/>
      <c r="B485" s="11"/>
      <c r="C485" s="12"/>
      <c r="D485" s="12"/>
      <c r="E485" s="12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11"/>
      <c r="B486" s="11"/>
      <c r="C486" s="12"/>
      <c r="D486" s="12"/>
      <c r="E486" s="12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11"/>
      <c r="B487" s="11"/>
      <c r="C487" s="12"/>
      <c r="D487" s="12"/>
      <c r="E487" s="12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11"/>
      <c r="B488" s="11"/>
      <c r="C488" s="12"/>
      <c r="D488" s="12"/>
      <c r="E488" s="12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11"/>
      <c r="B489" s="11"/>
      <c r="C489" s="12"/>
      <c r="D489" s="12"/>
      <c r="E489" s="12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11"/>
      <c r="B490" s="11"/>
      <c r="C490" s="12"/>
      <c r="D490" s="12"/>
      <c r="E490" s="12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11"/>
      <c r="B491" s="11"/>
      <c r="C491" s="12"/>
      <c r="D491" s="12"/>
      <c r="E491" s="12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11"/>
      <c r="B492" s="11"/>
      <c r="C492" s="12"/>
      <c r="D492" s="12"/>
      <c r="E492" s="12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11"/>
      <c r="B493" s="11"/>
      <c r="C493" s="12"/>
      <c r="D493" s="12"/>
      <c r="E493" s="12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11"/>
      <c r="B494" s="11"/>
      <c r="C494" s="12"/>
      <c r="D494" s="12"/>
      <c r="E494" s="12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11"/>
      <c r="B495" s="11"/>
      <c r="C495" s="12"/>
      <c r="D495" s="12"/>
      <c r="E495" s="12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11"/>
      <c r="B496" s="11"/>
      <c r="C496" s="12"/>
      <c r="D496" s="12"/>
      <c r="E496" s="12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11"/>
      <c r="B497" s="11"/>
      <c r="C497" s="12"/>
      <c r="D497" s="12"/>
      <c r="E497" s="12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11"/>
      <c r="B498" s="11"/>
      <c r="C498" s="12"/>
      <c r="D498" s="12"/>
      <c r="E498" s="12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11"/>
      <c r="B499" s="11"/>
      <c r="C499" s="12"/>
      <c r="D499" s="12"/>
      <c r="E499" s="12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11"/>
      <c r="B500" s="11"/>
      <c r="C500" s="12"/>
      <c r="D500" s="12"/>
      <c r="E500" s="12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11"/>
      <c r="B501" s="11"/>
      <c r="C501" s="12"/>
      <c r="D501" s="12"/>
      <c r="E501" s="12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11"/>
      <c r="B502" s="11"/>
      <c r="C502" s="12"/>
      <c r="D502" s="12"/>
      <c r="E502" s="12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11"/>
      <c r="B503" s="11"/>
      <c r="C503" s="12"/>
      <c r="D503" s="12"/>
      <c r="E503" s="12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11"/>
      <c r="B504" s="11"/>
      <c r="C504" s="12"/>
      <c r="D504" s="12"/>
      <c r="E504" s="12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11"/>
      <c r="B505" s="11"/>
      <c r="C505" s="12"/>
      <c r="D505" s="12"/>
      <c r="E505" s="12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11"/>
      <c r="B506" s="11"/>
      <c r="C506" s="12"/>
      <c r="D506" s="12"/>
      <c r="E506" s="12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11"/>
      <c r="B507" s="11"/>
      <c r="C507" s="12"/>
      <c r="D507" s="12"/>
      <c r="E507" s="12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11"/>
      <c r="B508" s="11"/>
      <c r="C508" s="12"/>
      <c r="D508" s="12"/>
      <c r="E508" s="12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11"/>
      <c r="B509" s="11"/>
      <c r="C509" s="12"/>
      <c r="D509" s="12"/>
      <c r="E509" s="12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11"/>
      <c r="B510" s="11"/>
      <c r="C510" s="12"/>
      <c r="D510" s="12"/>
      <c r="E510" s="12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11"/>
      <c r="B511" s="11"/>
      <c r="C511" s="12"/>
      <c r="D511" s="12"/>
      <c r="E511" s="12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11"/>
      <c r="B512" s="11"/>
      <c r="C512" s="12"/>
      <c r="D512" s="12"/>
      <c r="E512" s="12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11"/>
      <c r="B513" s="11"/>
      <c r="C513" s="12"/>
      <c r="D513" s="12"/>
      <c r="E513" s="12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11"/>
      <c r="B514" s="11"/>
      <c r="C514" s="12"/>
      <c r="D514" s="12"/>
      <c r="E514" s="12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11"/>
      <c r="B515" s="11"/>
      <c r="C515" s="12"/>
      <c r="D515" s="12"/>
      <c r="E515" s="12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11"/>
      <c r="B516" s="11"/>
      <c r="C516" s="12"/>
      <c r="D516" s="12"/>
      <c r="E516" s="12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11"/>
      <c r="B517" s="11"/>
      <c r="C517" s="12"/>
      <c r="D517" s="12"/>
      <c r="E517" s="12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11"/>
      <c r="B518" s="11"/>
      <c r="C518" s="12"/>
      <c r="D518" s="12"/>
      <c r="E518" s="12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11"/>
      <c r="B519" s="11"/>
      <c r="C519" s="12"/>
      <c r="D519" s="12"/>
      <c r="E519" s="12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11"/>
      <c r="B520" s="11"/>
      <c r="C520" s="12"/>
      <c r="D520" s="12"/>
      <c r="E520" s="12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11"/>
      <c r="B521" s="11"/>
      <c r="C521" s="12"/>
      <c r="D521" s="12"/>
      <c r="E521" s="12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11"/>
      <c r="B522" s="11"/>
      <c r="C522" s="12"/>
      <c r="D522" s="12"/>
      <c r="E522" s="12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11"/>
      <c r="B523" s="11"/>
      <c r="C523" s="12"/>
      <c r="D523" s="12"/>
      <c r="E523" s="12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11"/>
      <c r="B524" s="11"/>
      <c r="C524" s="12"/>
      <c r="D524" s="12"/>
      <c r="E524" s="12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11"/>
      <c r="B525" s="11"/>
      <c r="C525" s="12"/>
      <c r="D525" s="12"/>
      <c r="E525" s="12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11"/>
      <c r="B526" s="11"/>
      <c r="C526" s="12"/>
      <c r="D526" s="12"/>
      <c r="E526" s="12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11"/>
      <c r="B527" s="11"/>
      <c r="C527" s="12"/>
      <c r="D527" s="12"/>
      <c r="E527" s="12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11"/>
      <c r="B528" s="11"/>
      <c r="C528" s="12"/>
      <c r="D528" s="12"/>
      <c r="E528" s="12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11"/>
      <c r="B529" s="11"/>
      <c r="C529" s="12"/>
      <c r="D529" s="12"/>
      <c r="E529" s="12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11"/>
      <c r="B530" s="11"/>
      <c r="C530" s="12"/>
      <c r="D530" s="12"/>
      <c r="E530" s="12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11"/>
      <c r="B531" s="11"/>
      <c r="C531" s="12"/>
      <c r="D531" s="12"/>
      <c r="E531" s="12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11"/>
      <c r="B532" s="11"/>
      <c r="C532" s="12"/>
      <c r="D532" s="12"/>
      <c r="E532" s="12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11"/>
      <c r="B533" s="11"/>
      <c r="C533" s="12"/>
      <c r="D533" s="12"/>
      <c r="E533" s="12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11"/>
      <c r="B534" s="11"/>
      <c r="C534" s="12"/>
      <c r="D534" s="12"/>
      <c r="E534" s="12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11"/>
      <c r="B535" s="11"/>
      <c r="C535" s="12"/>
      <c r="D535" s="12"/>
      <c r="E535" s="12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11"/>
      <c r="B536" s="11"/>
      <c r="C536" s="12"/>
      <c r="D536" s="12"/>
      <c r="E536" s="12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11"/>
      <c r="B537" s="11"/>
      <c r="C537" s="12"/>
      <c r="D537" s="12"/>
      <c r="E537" s="12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11"/>
      <c r="B538" s="11"/>
      <c r="C538" s="12"/>
      <c r="D538" s="12"/>
      <c r="E538" s="12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11"/>
      <c r="B539" s="11"/>
      <c r="C539" s="12"/>
      <c r="D539" s="12"/>
      <c r="E539" s="12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11"/>
      <c r="B540" s="11"/>
      <c r="C540" s="12"/>
      <c r="D540" s="12"/>
      <c r="E540" s="12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11"/>
      <c r="B541" s="11"/>
      <c r="C541" s="12"/>
      <c r="D541" s="12"/>
      <c r="E541" s="12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11"/>
      <c r="B542" s="11"/>
      <c r="C542" s="12"/>
      <c r="D542" s="12"/>
      <c r="E542" s="12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11"/>
      <c r="B543" s="11"/>
      <c r="C543" s="12"/>
      <c r="D543" s="12"/>
      <c r="E543" s="12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11"/>
      <c r="B544" s="11"/>
      <c r="C544" s="12"/>
      <c r="D544" s="12"/>
      <c r="E544" s="12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11"/>
      <c r="B545" s="11"/>
      <c r="C545" s="12"/>
      <c r="D545" s="12"/>
      <c r="E545" s="12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11"/>
      <c r="B546" s="11"/>
      <c r="C546" s="12"/>
      <c r="D546" s="12"/>
      <c r="E546" s="12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11"/>
      <c r="B547" s="11"/>
      <c r="C547" s="12"/>
      <c r="D547" s="12"/>
      <c r="E547" s="12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11"/>
      <c r="B548" s="11"/>
      <c r="C548" s="12"/>
      <c r="D548" s="12"/>
      <c r="E548" s="12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11"/>
      <c r="B549" s="11"/>
      <c r="C549" s="12"/>
      <c r="D549" s="12"/>
      <c r="E549" s="12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11"/>
      <c r="B550" s="11"/>
      <c r="C550" s="12"/>
      <c r="D550" s="12"/>
      <c r="E550" s="12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11"/>
      <c r="B551" s="11"/>
      <c r="C551" s="12"/>
      <c r="D551" s="12"/>
      <c r="E551" s="12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11"/>
      <c r="B552" s="11"/>
      <c r="C552" s="12"/>
      <c r="D552" s="12"/>
      <c r="E552" s="12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11"/>
      <c r="B553" s="11"/>
      <c r="C553" s="12"/>
      <c r="D553" s="12"/>
      <c r="E553" s="12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11"/>
      <c r="B554" s="11"/>
      <c r="C554" s="12"/>
      <c r="D554" s="12"/>
      <c r="E554" s="12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11"/>
      <c r="B555" s="11"/>
      <c r="C555" s="12"/>
      <c r="D555" s="12"/>
      <c r="E555" s="12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11"/>
      <c r="B556" s="11"/>
      <c r="C556" s="12"/>
      <c r="D556" s="12"/>
      <c r="E556" s="12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11"/>
      <c r="B557" s="11"/>
      <c r="C557" s="12"/>
      <c r="D557" s="12"/>
      <c r="E557" s="12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11"/>
      <c r="B558" s="11"/>
      <c r="C558" s="12"/>
      <c r="D558" s="12"/>
      <c r="E558" s="12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11"/>
      <c r="B559" s="11"/>
      <c r="C559" s="12"/>
      <c r="D559" s="12"/>
      <c r="E559" s="12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11"/>
      <c r="B560" s="11"/>
      <c r="C560" s="12"/>
      <c r="D560" s="12"/>
      <c r="E560" s="12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11"/>
      <c r="B561" s="11"/>
      <c r="C561" s="12"/>
      <c r="D561" s="12"/>
      <c r="E561" s="12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11"/>
      <c r="B562" s="11"/>
      <c r="C562" s="12"/>
      <c r="D562" s="12"/>
      <c r="E562" s="12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11"/>
      <c r="B563" s="11"/>
      <c r="C563" s="12"/>
      <c r="D563" s="12"/>
      <c r="E563" s="12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11"/>
      <c r="B564" s="11"/>
      <c r="C564" s="12"/>
      <c r="D564" s="12"/>
      <c r="E564" s="12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11"/>
      <c r="B565" s="11"/>
      <c r="C565" s="12"/>
      <c r="D565" s="12"/>
      <c r="E565" s="12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11"/>
      <c r="B566" s="11"/>
      <c r="C566" s="12"/>
      <c r="D566" s="12"/>
      <c r="E566" s="12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11"/>
      <c r="B567" s="11"/>
      <c r="C567" s="12"/>
      <c r="D567" s="12"/>
      <c r="E567" s="12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11"/>
      <c r="B568" s="11"/>
      <c r="C568" s="12"/>
      <c r="D568" s="12"/>
      <c r="E568" s="12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11"/>
      <c r="B569" s="11"/>
      <c r="C569" s="12"/>
      <c r="D569" s="12"/>
      <c r="E569" s="12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11"/>
      <c r="B570" s="11"/>
      <c r="C570" s="12"/>
      <c r="D570" s="12"/>
      <c r="E570" s="12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11"/>
      <c r="B571" s="11"/>
      <c r="C571" s="12"/>
      <c r="D571" s="12"/>
      <c r="E571" s="12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11"/>
      <c r="B572" s="11"/>
      <c r="C572" s="12"/>
      <c r="D572" s="12"/>
      <c r="E572" s="12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11"/>
      <c r="B573" s="11"/>
      <c r="C573" s="12"/>
      <c r="D573" s="12"/>
      <c r="E573" s="12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11"/>
      <c r="B574" s="11"/>
      <c r="C574" s="12"/>
      <c r="D574" s="12"/>
      <c r="E574" s="12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11"/>
      <c r="B575" s="11"/>
      <c r="C575" s="12"/>
      <c r="D575" s="12"/>
      <c r="E575" s="12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11"/>
      <c r="B576" s="11"/>
      <c r="C576" s="12"/>
      <c r="D576" s="12"/>
      <c r="E576" s="12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11"/>
      <c r="B577" s="11"/>
      <c r="C577" s="12"/>
      <c r="D577" s="12"/>
      <c r="E577" s="12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11"/>
      <c r="B578" s="11"/>
      <c r="C578" s="12"/>
      <c r="D578" s="12"/>
      <c r="E578" s="12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11"/>
      <c r="B579" s="11"/>
      <c r="C579" s="12"/>
      <c r="D579" s="12"/>
      <c r="E579" s="12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11"/>
      <c r="B580" s="11"/>
      <c r="C580" s="12"/>
      <c r="D580" s="12"/>
      <c r="E580" s="12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11"/>
      <c r="B581" s="11"/>
      <c r="C581" s="12"/>
      <c r="D581" s="12"/>
      <c r="E581" s="12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11"/>
      <c r="B582" s="11"/>
      <c r="C582" s="12"/>
      <c r="D582" s="12"/>
      <c r="E582" s="12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11"/>
      <c r="B583" s="11"/>
      <c r="C583" s="12"/>
      <c r="D583" s="12"/>
      <c r="E583" s="12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11"/>
      <c r="B584" s="11"/>
      <c r="C584" s="12"/>
      <c r="D584" s="12"/>
      <c r="E584" s="12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11"/>
      <c r="B585" s="11"/>
      <c r="C585" s="12"/>
      <c r="D585" s="12"/>
      <c r="E585" s="12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11"/>
      <c r="B586" s="11"/>
      <c r="C586" s="12"/>
      <c r="D586" s="12"/>
      <c r="E586" s="12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11"/>
      <c r="B587" s="11"/>
      <c r="C587" s="12"/>
      <c r="D587" s="12"/>
      <c r="E587" s="12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11"/>
      <c r="B588" s="11"/>
      <c r="C588" s="12"/>
      <c r="D588" s="12"/>
      <c r="E588" s="12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11"/>
      <c r="B589" s="11"/>
      <c r="C589" s="12"/>
      <c r="D589" s="12"/>
      <c r="E589" s="12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11"/>
      <c r="B590" s="11"/>
      <c r="C590" s="12"/>
      <c r="D590" s="12"/>
      <c r="E590" s="12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11"/>
      <c r="B591" s="11"/>
      <c r="C591" s="12"/>
      <c r="D591" s="12"/>
      <c r="E591" s="12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11"/>
      <c r="B592" s="11"/>
      <c r="C592" s="12"/>
      <c r="D592" s="12"/>
      <c r="E592" s="12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11"/>
      <c r="B593" s="11"/>
      <c r="C593" s="12"/>
      <c r="D593" s="12"/>
      <c r="E593" s="12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11"/>
      <c r="B594" s="11"/>
      <c r="C594" s="12"/>
      <c r="D594" s="12"/>
      <c r="E594" s="12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11"/>
      <c r="B595" s="11"/>
      <c r="C595" s="12"/>
      <c r="D595" s="12"/>
      <c r="E595" s="12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11"/>
      <c r="B596" s="11"/>
      <c r="C596" s="12"/>
      <c r="D596" s="12"/>
      <c r="E596" s="12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11"/>
      <c r="B597" s="11"/>
      <c r="C597" s="12"/>
      <c r="D597" s="12"/>
      <c r="E597" s="12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11"/>
      <c r="B598" s="11"/>
      <c r="C598" s="12"/>
      <c r="D598" s="12"/>
      <c r="E598" s="12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11"/>
      <c r="B599" s="11"/>
      <c r="C599" s="12"/>
      <c r="D599" s="12"/>
      <c r="E599" s="12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11"/>
      <c r="B600" s="11"/>
      <c r="C600" s="12"/>
      <c r="D600" s="12"/>
      <c r="E600" s="12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11"/>
      <c r="B601" s="11"/>
      <c r="C601" s="12"/>
      <c r="D601" s="12"/>
      <c r="E601" s="12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11"/>
      <c r="B602" s="11"/>
      <c r="C602" s="12"/>
      <c r="D602" s="12"/>
      <c r="E602" s="12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11"/>
      <c r="B603" s="11"/>
      <c r="C603" s="12"/>
      <c r="D603" s="12"/>
      <c r="E603" s="12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11"/>
      <c r="B604" s="11"/>
      <c r="C604" s="12"/>
      <c r="D604" s="12"/>
      <c r="E604" s="12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11"/>
      <c r="B605" s="11"/>
      <c r="C605" s="12"/>
      <c r="D605" s="12"/>
      <c r="E605" s="12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11"/>
      <c r="B606" s="11"/>
      <c r="C606" s="12"/>
      <c r="D606" s="12"/>
      <c r="E606" s="12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11"/>
      <c r="B607" s="11"/>
      <c r="C607" s="12"/>
      <c r="D607" s="12"/>
      <c r="E607" s="12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11"/>
      <c r="B608" s="11"/>
      <c r="C608" s="12"/>
      <c r="D608" s="12"/>
      <c r="E608" s="12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11"/>
      <c r="B609" s="11"/>
      <c r="C609" s="12"/>
      <c r="D609" s="12"/>
      <c r="E609" s="12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11"/>
      <c r="B610" s="11"/>
      <c r="C610" s="12"/>
      <c r="D610" s="12"/>
      <c r="E610" s="12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11"/>
      <c r="B611" s="11"/>
      <c r="C611" s="12"/>
      <c r="D611" s="12"/>
      <c r="E611" s="12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11"/>
      <c r="B612" s="11"/>
      <c r="C612" s="12"/>
      <c r="D612" s="12"/>
      <c r="E612" s="12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11"/>
      <c r="B613" s="11"/>
      <c r="C613" s="12"/>
      <c r="D613" s="12"/>
      <c r="E613" s="12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11"/>
      <c r="B614" s="11"/>
      <c r="C614" s="12"/>
      <c r="D614" s="12"/>
      <c r="E614" s="12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11"/>
      <c r="B615" s="11"/>
      <c r="C615" s="12"/>
      <c r="D615" s="12"/>
      <c r="E615" s="12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11"/>
      <c r="B616" s="11"/>
      <c r="C616" s="12"/>
      <c r="D616" s="12"/>
      <c r="E616" s="12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11"/>
      <c r="B617" s="11"/>
      <c r="C617" s="12"/>
      <c r="D617" s="12"/>
      <c r="E617" s="12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11"/>
      <c r="B618" s="11"/>
      <c r="C618" s="12"/>
      <c r="D618" s="12"/>
      <c r="E618" s="12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11"/>
      <c r="B619" s="11"/>
      <c r="C619" s="12"/>
      <c r="D619" s="12"/>
      <c r="E619" s="12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11"/>
      <c r="B620" s="11"/>
      <c r="C620" s="12"/>
      <c r="D620" s="12"/>
      <c r="E620" s="12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11"/>
      <c r="B621" s="11"/>
      <c r="C621" s="12"/>
      <c r="D621" s="12"/>
      <c r="E621" s="12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11"/>
      <c r="B622" s="11"/>
      <c r="C622" s="12"/>
      <c r="D622" s="12"/>
      <c r="E622" s="12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11"/>
      <c r="B623" s="11"/>
      <c r="C623" s="12"/>
      <c r="D623" s="12"/>
      <c r="E623" s="12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11"/>
      <c r="B624" s="11"/>
      <c r="C624" s="12"/>
      <c r="D624" s="12"/>
      <c r="E624" s="12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11"/>
      <c r="B625" s="11"/>
      <c r="C625" s="12"/>
      <c r="D625" s="12"/>
      <c r="E625" s="12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11"/>
      <c r="B626" s="11"/>
      <c r="C626" s="12"/>
      <c r="D626" s="12"/>
      <c r="E626" s="12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11"/>
      <c r="B627" s="11"/>
      <c r="C627" s="12"/>
      <c r="D627" s="12"/>
      <c r="E627" s="12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11"/>
      <c r="B628" s="11"/>
      <c r="C628" s="12"/>
      <c r="D628" s="12"/>
      <c r="E628" s="12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11"/>
      <c r="B629" s="11"/>
      <c r="C629" s="12"/>
      <c r="D629" s="12"/>
      <c r="E629" s="12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11"/>
      <c r="B630" s="11"/>
      <c r="C630" s="12"/>
      <c r="D630" s="12"/>
      <c r="E630" s="12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11"/>
      <c r="B631" s="11"/>
      <c r="C631" s="12"/>
      <c r="D631" s="12"/>
      <c r="E631" s="12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11"/>
      <c r="B632" s="11"/>
      <c r="C632" s="12"/>
      <c r="D632" s="12"/>
      <c r="E632" s="12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11"/>
      <c r="B633" s="11"/>
      <c r="C633" s="12"/>
      <c r="D633" s="12"/>
      <c r="E633" s="12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11"/>
      <c r="B634" s="11"/>
      <c r="C634" s="12"/>
      <c r="D634" s="12"/>
      <c r="E634" s="12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11"/>
      <c r="B635" s="11"/>
      <c r="C635" s="12"/>
      <c r="D635" s="12"/>
      <c r="E635" s="12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11"/>
      <c r="B636" s="11"/>
      <c r="C636" s="12"/>
      <c r="D636" s="12"/>
      <c r="E636" s="12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11"/>
      <c r="B637" s="11"/>
      <c r="C637" s="12"/>
      <c r="D637" s="12"/>
      <c r="E637" s="12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11"/>
      <c r="B638" s="11"/>
      <c r="C638" s="12"/>
      <c r="D638" s="12"/>
      <c r="E638" s="12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11"/>
      <c r="B639" s="11"/>
      <c r="C639" s="12"/>
      <c r="D639" s="12"/>
      <c r="E639" s="12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11"/>
      <c r="B640" s="11"/>
      <c r="C640" s="12"/>
      <c r="D640" s="12"/>
      <c r="E640" s="12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11"/>
      <c r="B641" s="11"/>
      <c r="C641" s="12"/>
      <c r="D641" s="12"/>
      <c r="E641" s="12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11"/>
      <c r="B642" s="11"/>
      <c r="C642" s="12"/>
      <c r="D642" s="12"/>
      <c r="E642" s="12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11"/>
      <c r="B643" s="11"/>
      <c r="C643" s="12"/>
      <c r="D643" s="12"/>
      <c r="E643" s="12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11"/>
      <c r="B644" s="11"/>
      <c r="C644" s="12"/>
      <c r="D644" s="12"/>
      <c r="E644" s="12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11"/>
      <c r="B645" s="11"/>
      <c r="C645" s="12"/>
      <c r="D645" s="12"/>
      <c r="E645" s="12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11"/>
      <c r="B646" s="11"/>
      <c r="C646" s="12"/>
      <c r="D646" s="12"/>
      <c r="E646" s="12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11"/>
      <c r="B647" s="11"/>
      <c r="C647" s="12"/>
      <c r="D647" s="12"/>
      <c r="E647" s="12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11"/>
      <c r="B648" s="11"/>
      <c r="C648" s="12"/>
      <c r="D648" s="12"/>
      <c r="E648" s="12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11"/>
      <c r="B649" s="11"/>
      <c r="C649" s="12"/>
      <c r="D649" s="12"/>
      <c r="E649" s="12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11"/>
      <c r="B650" s="11"/>
      <c r="C650" s="12"/>
      <c r="D650" s="12"/>
      <c r="E650" s="12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11"/>
      <c r="B651" s="11"/>
      <c r="C651" s="12"/>
      <c r="D651" s="12"/>
      <c r="E651" s="12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11"/>
      <c r="B652" s="11"/>
      <c r="C652" s="12"/>
      <c r="D652" s="12"/>
      <c r="E652" s="12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11"/>
      <c r="B653" s="11"/>
      <c r="C653" s="12"/>
      <c r="D653" s="12"/>
      <c r="E653" s="12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11"/>
      <c r="B654" s="11"/>
      <c r="C654" s="12"/>
      <c r="D654" s="12"/>
      <c r="E654" s="12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11"/>
      <c r="B655" s="11"/>
      <c r="C655" s="12"/>
      <c r="D655" s="12"/>
      <c r="E655" s="12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11"/>
      <c r="B656" s="11"/>
      <c r="C656" s="12"/>
      <c r="D656" s="12"/>
      <c r="E656" s="12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11"/>
      <c r="B657" s="11"/>
      <c r="C657" s="12"/>
      <c r="D657" s="12"/>
      <c r="E657" s="12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11"/>
      <c r="B658" s="11"/>
      <c r="C658" s="12"/>
      <c r="D658" s="12"/>
      <c r="E658" s="12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11"/>
      <c r="B659" s="11"/>
      <c r="C659" s="12"/>
      <c r="D659" s="12"/>
      <c r="E659" s="12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11"/>
      <c r="B660" s="11"/>
      <c r="C660" s="12"/>
      <c r="D660" s="12"/>
      <c r="E660" s="12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11"/>
      <c r="B661" s="11"/>
      <c r="C661" s="12"/>
      <c r="D661" s="12"/>
      <c r="E661" s="12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11"/>
      <c r="B662" s="11"/>
      <c r="C662" s="12"/>
      <c r="D662" s="12"/>
      <c r="E662" s="12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11"/>
      <c r="B663" s="11"/>
      <c r="C663" s="12"/>
      <c r="D663" s="12"/>
      <c r="E663" s="12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11"/>
      <c r="B664" s="11"/>
      <c r="C664" s="12"/>
      <c r="D664" s="12"/>
      <c r="E664" s="12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11"/>
      <c r="B665" s="11"/>
      <c r="C665" s="12"/>
      <c r="D665" s="12"/>
      <c r="E665" s="12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11"/>
      <c r="B666" s="11"/>
      <c r="C666" s="12"/>
      <c r="D666" s="12"/>
      <c r="E666" s="12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11"/>
      <c r="B667" s="11"/>
      <c r="C667" s="12"/>
      <c r="D667" s="12"/>
      <c r="E667" s="12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11"/>
      <c r="B668" s="11"/>
      <c r="C668" s="12"/>
      <c r="D668" s="12"/>
      <c r="E668" s="12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11"/>
      <c r="B669" s="11"/>
      <c r="C669" s="12"/>
      <c r="D669" s="12"/>
      <c r="E669" s="12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11"/>
      <c r="B670" s="11"/>
      <c r="C670" s="12"/>
      <c r="D670" s="12"/>
      <c r="E670" s="12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11"/>
      <c r="B671" s="11"/>
      <c r="C671" s="12"/>
      <c r="D671" s="12"/>
      <c r="E671" s="12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11"/>
      <c r="B672" s="11"/>
      <c r="C672" s="12"/>
      <c r="D672" s="12"/>
      <c r="E672" s="12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11"/>
      <c r="B673" s="11"/>
      <c r="C673" s="12"/>
      <c r="D673" s="12"/>
      <c r="E673" s="12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11"/>
      <c r="B674" s="11"/>
      <c r="C674" s="12"/>
      <c r="D674" s="12"/>
      <c r="E674" s="12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11"/>
      <c r="B675" s="11"/>
      <c r="C675" s="12"/>
      <c r="D675" s="12"/>
      <c r="E675" s="12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11"/>
      <c r="B676" s="11"/>
      <c r="C676" s="12"/>
      <c r="D676" s="12"/>
      <c r="E676" s="12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11"/>
      <c r="B677" s="11"/>
      <c r="C677" s="12"/>
      <c r="D677" s="12"/>
      <c r="E677" s="12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11"/>
      <c r="B678" s="11"/>
      <c r="C678" s="12"/>
      <c r="D678" s="12"/>
      <c r="E678" s="12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11"/>
      <c r="B679" s="11"/>
      <c r="C679" s="12"/>
      <c r="D679" s="12"/>
      <c r="E679" s="12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11"/>
      <c r="B680" s="11"/>
      <c r="C680" s="12"/>
      <c r="D680" s="12"/>
      <c r="E680" s="12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11"/>
      <c r="B681" s="11"/>
      <c r="C681" s="12"/>
      <c r="D681" s="12"/>
      <c r="E681" s="12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11"/>
      <c r="B682" s="11"/>
      <c r="C682" s="12"/>
      <c r="D682" s="12"/>
      <c r="E682" s="12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11"/>
      <c r="B683" s="11"/>
      <c r="C683" s="12"/>
      <c r="D683" s="12"/>
      <c r="E683" s="12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11"/>
      <c r="B684" s="11"/>
      <c r="C684" s="12"/>
      <c r="D684" s="12"/>
      <c r="E684" s="12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11"/>
      <c r="B685" s="11"/>
      <c r="C685" s="12"/>
      <c r="D685" s="12"/>
      <c r="E685" s="12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11"/>
      <c r="B686" s="11"/>
      <c r="C686" s="12"/>
      <c r="D686" s="12"/>
      <c r="E686" s="12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11"/>
      <c r="B687" s="11"/>
      <c r="C687" s="12"/>
      <c r="D687" s="12"/>
      <c r="E687" s="12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11"/>
      <c r="B688" s="11"/>
      <c r="C688" s="12"/>
      <c r="D688" s="12"/>
      <c r="E688" s="12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11"/>
      <c r="B689" s="11"/>
      <c r="C689" s="12"/>
      <c r="D689" s="12"/>
      <c r="E689" s="12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11"/>
      <c r="B690" s="11"/>
      <c r="C690" s="12"/>
      <c r="D690" s="12"/>
      <c r="E690" s="12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11"/>
      <c r="B691" s="11"/>
      <c r="C691" s="12"/>
      <c r="D691" s="12"/>
      <c r="E691" s="12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11"/>
      <c r="B692" s="11"/>
      <c r="C692" s="12"/>
      <c r="D692" s="12"/>
      <c r="E692" s="12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11"/>
      <c r="B693" s="11"/>
      <c r="C693" s="12"/>
      <c r="D693" s="12"/>
      <c r="E693" s="12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11"/>
      <c r="B694" s="11"/>
      <c r="C694" s="12"/>
      <c r="D694" s="12"/>
      <c r="E694" s="12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11"/>
      <c r="B695" s="11"/>
      <c r="C695" s="12"/>
      <c r="D695" s="12"/>
      <c r="E695" s="12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11"/>
      <c r="B696" s="11"/>
      <c r="C696" s="12"/>
      <c r="D696" s="12"/>
      <c r="E696" s="12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11"/>
      <c r="B697" s="11"/>
      <c r="C697" s="12"/>
      <c r="D697" s="12"/>
      <c r="E697" s="12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11"/>
      <c r="B698" s="11"/>
      <c r="C698" s="12"/>
      <c r="D698" s="12"/>
      <c r="E698" s="12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11"/>
      <c r="B699" s="11"/>
      <c r="C699" s="12"/>
      <c r="D699" s="12"/>
      <c r="E699" s="12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11"/>
      <c r="B700" s="11"/>
      <c r="C700" s="12"/>
      <c r="D700" s="12"/>
      <c r="E700" s="12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11"/>
      <c r="B701" s="11"/>
      <c r="C701" s="12"/>
      <c r="D701" s="12"/>
      <c r="E701" s="12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11"/>
      <c r="B702" s="11"/>
      <c r="C702" s="12"/>
      <c r="D702" s="12"/>
      <c r="E702" s="12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11"/>
      <c r="B703" s="11"/>
      <c r="C703" s="12"/>
      <c r="D703" s="12"/>
      <c r="E703" s="12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11"/>
      <c r="B704" s="11"/>
      <c r="C704" s="12"/>
      <c r="D704" s="12"/>
      <c r="E704" s="12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11"/>
      <c r="B705" s="11"/>
      <c r="C705" s="12"/>
      <c r="D705" s="12"/>
      <c r="E705" s="12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11"/>
      <c r="B706" s="11"/>
      <c r="C706" s="12"/>
      <c r="D706" s="12"/>
      <c r="E706" s="12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11"/>
      <c r="B707" s="11"/>
      <c r="C707" s="12"/>
      <c r="D707" s="12"/>
      <c r="E707" s="12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11"/>
      <c r="B708" s="11"/>
      <c r="C708" s="12"/>
      <c r="D708" s="12"/>
      <c r="E708" s="12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11"/>
      <c r="B709" s="11"/>
      <c r="C709" s="12"/>
      <c r="D709" s="12"/>
      <c r="E709" s="12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11"/>
      <c r="B710" s="11"/>
      <c r="C710" s="12"/>
      <c r="D710" s="12"/>
      <c r="E710" s="12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11"/>
      <c r="B711" s="11"/>
      <c r="C711" s="12"/>
      <c r="D711" s="12"/>
      <c r="E711" s="12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11"/>
      <c r="B712" s="11"/>
      <c r="C712" s="12"/>
      <c r="D712" s="12"/>
      <c r="E712" s="12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11"/>
      <c r="B713" s="11"/>
      <c r="C713" s="12"/>
      <c r="D713" s="12"/>
      <c r="E713" s="12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11"/>
      <c r="B714" s="11"/>
      <c r="C714" s="12"/>
      <c r="D714" s="12"/>
      <c r="E714" s="12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11"/>
      <c r="B715" s="11"/>
      <c r="C715" s="12"/>
      <c r="D715" s="12"/>
      <c r="E715" s="12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11"/>
      <c r="B716" s="11"/>
      <c r="C716" s="12"/>
      <c r="D716" s="12"/>
      <c r="E716" s="12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11"/>
      <c r="B717" s="11"/>
      <c r="C717" s="12"/>
      <c r="D717" s="12"/>
      <c r="E717" s="12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11"/>
      <c r="B718" s="11"/>
      <c r="C718" s="12"/>
      <c r="D718" s="12"/>
      <c r="E718" s="12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11"/>
      <c r="B719" s="11"/>
      <c r="C719" s="12"/>
      <c r="D719" s="12"/>
      <c r="E719" s="12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11"/>
      <c r="B720" s="11"/>
      <c r="C720" s="12"/>
      <c r="D720" s="12"/>
      <c r="E720" s="12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11"/>
      <c r="B721" s="11"/>
      <c r="C721" s="12"/>
      <c r="D721" s="12"/>
      <c r="E721" s="12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11"/>
      <c r="B722" s="11"/>
      <c r="C722" s="12"/>
      <c r="D722" s="12"/>
      <c r="E722" s="12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11"/>
      <c r="B723" s="11"/>
      <c r="C723" s="12"/>
      <c r="D723" s="12"/>
      <c r="E723" s="12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11"/>
      <c r="B724" s="11"/>
      <c r="C724" s="12"/>
      <c r="D724" s="12"/>
      <c r="E724" s="12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11"/>
      <c r="B725" s="11"/>
      <c r="C725" s="12"/>
      <c r="D725" s="12"/>
      <c r="E725" s="12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11"/>
      <c r="B726" s="11"/>
      <c r="C726" s="12"/>
      <c r="D726" s="12"/>
      <c r="E726" s="12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11"/>
      <c r="B727" s="11"/>
      <c r="C727" s="12"/>
      <c r="D727" s="12"/>
      <c r="E727" s="12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11"/>
      <c r="B728" s="11"/>
      <c r="C728" s="12"/>
      <c r="D728" s="12"/>
      <c r="E728" s="12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11"/>
      <c r="B729" s="11"/>
      <c r="C729" s="12"/>
      <c r="D729" s="12"/>
      <c r="E729" s="12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11"/>
      <c r="B730" s="11"/>
      <c r="C730" s="12"/>
      <c r="D730" s="12"/>
      <c r="E730" s="12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11"/>
      <c r="B731" s="11"/>
      <c r="C731" s="12"/>
      <c r="D731" s="12"/>
      <c r="E731" s="12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11"/>
      <c r="B732" s="11"/>
      <c r="C732" s="12"/>
      <c r="D732" s="12"/>
      <c r="E732" s="12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11"/>
      <c r="B733" s="11"/>
      <c r="C733" s="12"/>
      <c r="D733" s="12"/>
      <c r="E733" s="12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11"/>
      <c r="B734" s="11"/>
      <c r="C734" s="12"/>
      <c r="D734" s="12"/>
      <c r="E734" s="12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11"/>
      <c r="B735" s="11"/>
      <c r="C735" s="12"/>
      <c r="D735" s="12"/>
      <c r="E735" s="12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11"/>
      <c r="B736" s="11"/>
      <c r="C736" s="12"/>
      <c r="D736" s="12"/>
      <c r="E736" s="12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11"/>
      <c r="B737" s="11"/>
      <c r="C737" s="12"/>
      <c r="D737" s="12"/>
      <c r="E737" s="12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11"/>
      <c r="B738" s="11"/>
      <c r="C738" s="12"/>
      <c r="D738" s="12"/>
      <c r="E738" s="12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11"/>
      <c r="B739" s="11"/>
      <c r="C739" s="12"/>
      <c r="D739" s="12"/>
      <c r="E739" s="12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11"/>
      <c r="B740" s="11"/>
      <c r="C740" s="12"/>
      <c r="D740" s="12"/>
      <c r="E740" s="12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11"/>
      <c r="B741" s="11"/>
      <c r="C741" s="12"/>
      <c r="D741" s="12"/>
      <c r="E741" s="12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11"/>
      <c r="B742" s="11"/>
      <c r="C742" s="12"/>
      <c r="D742" s="12"/>
      <c r="E742" s="12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11"/>
      <c r="B743" s="11"/>
      <c r="C743" s="12"/>
      <c r="D743" s="12"/>
      <c r="E743" s="12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11"/>
      <c r="B744" s="11"/>
      <c r="C744" s="12"/>
      <c r="D744" s="12"/>
      <c r="E744" s="12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11"/>
      <c r="B745" s="11"/>
      <c r="C745" s="12"/>
      <c r="D745" s="12"/>
      <c r="E745" s="12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11"/>
      <c r="B746" s="11"/>
      <c r="C746" s="12"/>
      <c r="D746" s="12"/>
      <c r="E746" s="12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11"/>
      <c r="B747" s="11"/>
      <c r="C747" s="12"/>
      <c r="D747" s="12"/>
      <c r="E747" s="12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11"/>
      <c r="B748" s="11"/>
      <c r="C748" s="12"/>
      <c r="D748" s="12"/>
      <c r="E748" s="12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11"/>
      <c r="B749" s="11"/>
      <c r="C749" s="12"/>
      <c r="D749" s="12"/>
      <c r="E749" s="12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11"/>
      <c r="B750" s="11"/>
      <c r="C750" s="12"/>
      <c r="D750" s="12"/>
      <c r="E750" s="12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11"/>
      <c r="B751" s="11"/>
      <c r="C751" s="12"/>
      <c r="D751" s="12"/>
      <c r="E751" s="12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11"/>
      <c r="B752" s="11"/>
      <c r="C752" s="12"/>
      <c r="D752" s="12"/>
      <c r="E752" s="12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11"/>
      <c r="B753" s="11"/>
      <c r="C753" s="12"/>
      <c r="D753" s="12"/>
      <c r="E753" s="12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11"/>
      <c r="B754" s="11"/>
      <c r="C754" s="12"/>
      <c r="D754" s="12"/>
      <c r="E754" s="12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11"/>
      <c r="B755" s="11"/>
      <c r="C755" s="12"/>
      <c r="D755" s="12"/>
      <c r="E755" s="12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11"/>
      <c r="B756" s="11"/>
      <c r="C756" s="12"/>
      <c r="D756" s="12"/>
      <c r="E756" s="12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11"/>
      <c r="B757" s="11"/>
      <c r="C757" s="12"/>
      <c r="D757" s="12"/>
      <c r="E757" s="12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11"/>
      <c r="B758" s="11"/>
      <c r="C758" s="12"/>
      <c r="D758" s="12"/>
      <c r="E758" s="12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11"/>
      <c r="B759" s="11"/>
      <c r="C759" s="12"/>
      <c r="D759" s="12"/>
      <c r="E759" s="12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11"/>
      <c r="B760" s="11"/>
      <c r="C760" s="12"/>
      <c r="D760" s="12"/>
      <c r="E760" s="12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11"/>
      <c r="B761" s="11"/>
      <c r="C761" s="12"/>
      <c r="D761" s="12"/>
      <c r="E761" s="12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11"/>
      <c r="B762" s="11"/>
      <c r="C762" s="12"/>
      <c r="D762" s="12"/>
      <c r="E762" s="12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11"/>
      <c r="B763" s="11"/>
      <c r="C763" s="12"/>
      <c r="D763" s="12"/>
      <c r="E763" s="12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11"/>
      <c r="B764" s="11"/>
      <c r="C764" s="12"/>
      <c r="D764" s="12"/>
      <c r="E764" s="12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11"/>
      <c r="B765" s="11"/>
      <c r="C765" s="12"/>
      <c r="D765" s="12"/>
      <c r="E765" s="12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11"/>
      <c r="B766" s="11"/>
      <c r="C766" s="12"/>
      <c r="D766" s="12"/>
      <c r="E766" s="12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11"/>
      <c r="B767" s="11"/>
      <c r="C767" s="12"/>
      <c r="D767" s="12"/>
      <c r="E767" s="12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11"/>
      <c r="B768" s="11"/>
      <c r="C768" s="12"/>
      <c r="D768" s="12"/>
      <c r="E768" s="12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11"/>
      <c r="B769" s="11"/>
      <c r="C769" s="12"/>
      <c r="D769" s="12"/>
      <c r="E769" s="12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11"/>
      <c r="B770" s="11"/>
      <c r="C770" s="12"/>
      <c r="D770" s="12"/>
      <c r="E770" s="12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11"/>
      <c r="B771" s="11"/>
      <c r="C771" s="12"/>
      <c r="D771" s="12"/>
      <c r="E771" s="12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11"/>
      <c r="B772" s="11"/>
      <c r="C772" s="12"/>
      <c r="D772" s="12"/>
      <c r="E772" s="12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11"/>
      <c r="B773" s="11"/>
      <c r="C773" s="12"/>
      <c r="D773" s="12"/>
      <c r="E773" s="12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11"/>
      <c r="B774" s="11"/>
      <c r="C774" s="12"/>
      <c r="D774" s="12"/>
      <c r="E774" s="12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11"/>
      <c r="B775" s="11"/>
      <c r="C775" s="12"/>
      <c r="D775" s="12"/>
      <c r="E775" s="12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11"/>
      <c r="B776" s="11"/>
      <c r="C776" s="12"/>
      <c r="D776" s="12"/>
      <c r="E776" s="12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11"/>
      <c r="B777" s="11"/>
      <c r="C777" s="12"/>
      <c r="D777" s="12"/>
      <c r="E777" s="12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11"/>
      <c r="B778" s="11"/>
      <c r="C778" s="12"/>
      <c r="D778" s="12"/>
      <c r="E778" s="12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11"/>
      <c r="B779" s="11"/>
      <c r="C779" s="12"/>
      <c r="D779" s="12"/>
      <c r="E779" s="12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11"/>
      <c r="B780" s="11"/>
      <c r="C780" s="12"/>
      <c r="D780" s="12"/>
      <c r="E780" s="12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11"/>
      <c r="B781" s="11"/>
      <c r="C781" s="12"/>
      <c r="D781" s="12"/>
      <c r="E781" s="12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11"/>
      <c r="B782" s="11"/>
      <c r="C782" s="12"/>
      <c r="D782" s="12"/>
      <c r="E782" s="12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11"/>
      <c r="B783" s="11"/>
      <c r="C783" s="12"/>
      <c r="D783" s="12"/>
      <c r="E783" s="12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11"/>
      <c r="B784" s="11"/>
      <c r="C784" s="12"/>
      <c r="D784" s="12"/>
      <c r="E784" s="12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11"/>
      <c r="B785" s="11"/>
      <c r="C785" s="12"/>
      <c r="D785" s="12"/>
      <c r="E785" s="12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11"/>
      <c r="B786" s="11"/>
      <c r="C786" s="12"/>
      <c r="D786" s="12"/>
      <c r="E786" s="12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11"/>
      <c r="B787" s="11"/>
      <c r="C787" s="12"/>
      <c r="D787" s="12"/>
      <c r="E787" s="12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11"/>
      <c r="B788" s="11"/>
      <c r="C788" s="12"/>
      <c r="D788" s="12"/>
      <c r="E788" s="12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11"/>
      <c r="B789" s="11"/>
      <c r="C789" s="12"/>
      <c r="D789" s="12"/>
      <c r="E789" s="12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11"/>
      <c r="B790" s="11"/>
      <c r="C790" s="12"/>
      <c r="D790" s="12"/>
      <c r="E790" s="12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11"/>
      <c r="B791" s="11"/>
      <c r="C791" s="12"/>
      <c r="D791" s="12"/>
      <c r="E791" s="12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11"/>
      <c r="B792" s="11"/>
      <c r="C792" s="12"/>
      <c r="D792" s="12"/>
      <c r="E792" s="12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11"/>
      <c r="B793" s="11"/>
      <c r="C793" s="12"/>
      <c r="D793" s="12"/>
      <c r="E793" s="12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11"/>
      <c r="B794" s="11"/>
      <c r="C794" s="12"/>
      <c r="D794" s="12"/>
      <c r="E794" s="12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11"/>
      <c r="B795" s="11"/>
      <c r="C795" s="12"/>
      <c r="D795" s="12"/>
      <c r="E795" s="12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11"/>
      <c r="B796" s="11"/>
      <c r="C796" s="12"/>
      <c r="D796" s="12"/>
      <c r="E796" s="12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11"/>
      <c r="B797" s="11"/>
      <c r="C797" s="12"/>
      <c r="D797" s="12"/>
      <c r="E797" s="12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11"/>
      <c r="B798" s="11"/>
      <c r="C798" s="12"/>
      <c r="D798" s="12"/>
      <c r="E798" s="12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11"/>
      <c r="B799" s="11"/>
      <c r="C799" s="12"/>
      <c r="D799" s="12"/>
      <c r="E799" s="12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11"/>
      <c r="B800" s="11"/>
      <c r="C800" s="12"/>
      <c r="D800" s="12"/>
      <c r="E800" s="12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11"/>
      <c r="B801" s="11"/>
      <c r="C801" s="12"/>
      <c r="D801" s="12"/>
      <c r="E801" s="12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11"/>
      <c r="B802" s="11"/>
      <c r="C802" s="12"/>
      <c r="D802" s="12"/>
      <c r="E802" s="12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11"/>
      <c r="B803" s="11"/>
      <c r="C803" s="12"/>
      <c r="D803" s="12"/>
      <c r="E803" s="12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11"/>
      <c r="B804" s="11"/>
      <c r="C804" s="12"/>
      <c r="D804" s="12"/>
      <c r="E804" s="12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11"/>
      <c r="B805" s="11"/>
      <c r="C805" s="12"/>
      <c r="D805" s="12"/>
      <c r="E805" s="12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11"/>
      <c r="B806" s="11"/>
      <c r="C806" s="12"/>
      <c r="D806" s="12"/>
      <c r="E806" s="12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11"/>
      <c r="B807" s="11"/>
      <c r="C807" s="12"/>
      <c r="D807" s="12"/>
      <c r="E807" s="12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11"/>
      <c r="B808" s="11"/>
      <c r="C808" s="12"/>
      <c r="D808" s="12"/>
      <c r="E808" s="12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11"/>
      <c r="B809" s="11"/>
      <c r="C809" s="12"/>
      <c r="D809" s="12"/>
      <c r="E809" s="12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11"/>
      <c r="B810" s="11"/>
      <c r="C810" s="12"/>
      <c r="D810" s="12"/>
      <c r="E810" s="12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11"/>
      <c r="B811" s="11"/>
      <c r="C811" s="12"/>
      <c r="D811" s="12"/>
      <c r="E811" s="12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11"/>
      <c r="B812" s="11"/>
      <c r="C812" s="12"/>
      <c r="D812" s="12"/>
      <c r="E812" s="12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11"/>
      <c r="B813" s="11"/>
      <c r="C813" s="12"/>
      <c r="D813" s="12"/>
      <c r="E813" s="12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11"/>
      <c r="B814" s="11"/>
      <c r="C814" s="12"/>
      <c r="D814" s="12"/>
      <c r="E814" s="12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11"/>
      <c r="B815" s="11"/>
      <c r="C815" s="12"/>
      <c r="D815" s="12"/>
      <c r="E815" s="12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11"/>
      <c r="B816" s="11"/>
      <c r="C816" s="12"/>
      <c r="D816" s="12"/>
      <c r="E816" s="12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11"/>
      <c r="B817" s="11"/>
      <c r="C817" s="12"/>
      <c r="D817" s="12"/>
      <c r="E817" s="12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11"/>
      <c r="B818" s="11"/>
      <c r="C818" s="12"/>
      <c r="D818" s="12"/>
      <c r="E818" s="12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11"/>
      <c r="B819" s="11"/>
      <c r="C819" s="12"/>
      <c r="D819" s="12"/>
      <c r="E819" s="12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11"/>
      <c r="B820" s="11"/>
      <c r="C820" s="12"/>
      <c r="D820" s="12"/>
      <c r="E820" s="12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11"/>
      <c r="B821" s="11"/>
      <c r="C821" s="12"/>
      <c r="D821" s="12"/>
      <c r="E821" s="12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11"/>
      <c r="B822" s="11"/>
      <c r="C822" s="12"/>
      <c r="D822" s="12"/>
      <c r="E822" s="12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11"/>
      <c r="B823" s="11"/>
      <c r="C823" s="12"/>
      <c r="D823" s="12"/>
      <c r="E823" s="12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11"/>
      <c r="B824" s="11"/>
      <c r="C824" s="12"/>
      <c r="D824" s="12"/>
      <c r="E824" s="12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11"/>
      <c r="B825" s="11"/>
      <c r="C825" s="12"/>
      <c r="D825" s="12"/>
      <c r="E825" s="12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11"/>
      <c r="B826" s="11"/>
      <c r="C826" s="12"/>
      <c r="D826" s="12"/>
      <c r="E826" s="12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11"/>
      <c r="B827" s="11"/>
      <c r="C827" s="12"/>
      <c r="D827" s="12"/>
      <c r="E827" s="12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11"/>
      <c r="B828" s="11"/>
      <c r="C828" s="12"/>
      <c r="D828" s="12"/>
      <c r="E828" s="12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11"/>
      <c r="B829" s="11"/>
      <c r="C829" s="12"/>
      <c r="D829" s="12"/>
      <c r="E829" s="12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11"/>
      <c r="B830" s="11"/>
      <c r="C830" s="12"/>
      <c r="D830" s="12"/>
      <c r="E830" s="12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11"/>
      <c r="B831" s="11"/>
      <c r="C831" s="12"/>
      <c r="D831" s="12"/>
      <c r="E831" s="12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11"/>
      <c r="B832" s="11"/>
      <c r="C832" s="12"/>
      <c r="D832" s="12"/>
      <c r="E832" s="12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11"/>
      <c r="B833" s="11"/>
      <c r="C833" s="12"/>
      <c r="D833" s="12"/>
      <c r="E833" s="12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11"/>
      <c r="B834" s="11"/>
      <c r="C834" s="12"/>
      <c r="D834" s="12"/>
      <c r="E834" s="12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11"/>
      <c r="B835" s="11"/>
      <c r="C835" s="12"/>
      <c r="D835" s="12"/>
      <c r="E835" s="12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11"/>
      <c r="B836" s="11"/>
      <c r="C836" s="12"/>
      <c r="D836" s="12"/>
      <c r="E836" s="12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11"/>
      <c r="B837" s="11"/>
      <c r="C837" s="12"/>
      <c r="D837" s="12"/>
      <c r="E837" s="12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11"/>
      <c r="B838" s="11"/>
      <c r="C838" s="12"/>
      <c r="D838" s="12"/>
      <c r="E838" s="12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11"/>
      <c r="B839" s="11"/>
      <c r="C839" s="12"/>
      <c r="D839" s="12"/>
      <c r="E839" s="12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11"/>
      <c r="B840" s="11"/>
      <c r="C840" s="12"/>
      <c r="D840" s="12"/>
      <c r="E840" s="12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11"/>
      <c r="B841" s="11"/>
      <c r="C841" s="12"/>
      <c r="D841" s="12"/>
      <c r="E841" s="12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11"/>
      <c r="B842" s="11"/>
      <c r="C842" s="12"/>
      <c r="D842" s="12"/>
      <c r="E842" s="12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11"/>
      <c r="B843" s="11"/>
      <c r="C843" s="12"/>
      <c r="D843" s="12"/>
      <c r="E843" s="12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11"/>
      <c r="B844" s="11"/>
      <c r="C844" s="12"/>
      <c r="D844" s="12"/>
      <c r="E844" s="12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11"/>
      <c r="B845" s="11"/>
      <c r="C845" s="12"/>
      <c r="D845" s="12"/>
      <c r="E845" s="12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11"/>
      <c r="B846" s="11"/>
      <c r="C846" s="12"/>
      <c r="D846" s="12"/>
      <c r="E846" s="12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11"/>
      <c r="B847" s="11"/>
      <c r="C847" s="12"/>
      <c r="D847" s="12"/>
      <c r="E847" s="12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11"/>
      <c r="B848" s="11"/>
      <c r="C848" s="12"/>
      <c r="D848" s="12"/>
      <c r="E848" s="12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11"/>
      <c r="B849" s="11"/>
      <c r="C849" s="12"/>
      <c r="D849" s="12"/>
      <c r="E849" s="12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11"/>
      <c r="B850" s="11"/>
      <c r="C850" s="12"/>
      <c r="D850" s="12"/>
      <c r="E850" s="12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11"/>
      <c r="B851" s="11"/>
      <c r="C851" s="12"/>
      <c r="D851" s="12"/>
      <c r="E851" s="12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11"/>
      <c r="B852" s="11"/>
      <c r="C852" s="12"/>
      <c r="D852" s="12"/>
      <c r="E852" s="12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11"/>
      <c r="B853" s="11"/>
      <c r="C853" s="12"/>
      <c r="D853" s="12"/>
      <c r="E853" s="12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11"/>
      <c r="B854" s="11"/>
      <c r="C854" s="12"/>
      <c r="D854" s="12"/>
      <c r="E854" s="12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11"/>
      <c r="B855" s="11"/>
      <c r="C855" s="12"/>
      <c r="D855" s="12"/>
      <c r="E855" s="12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11"/>
      <c r="B856" s="11"/>
      <c r="C856" s="12"/>
      <c r="D856" s="12"/>
      <c r="E856" s="12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11"/>
      <c r="B857" s="11"/>
      <c r="C857" s="12"/>
      <c r="D857" s="12"/>
      <c r="E857" s="12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11"/>
      <c r="B858" s="11"/>
      <c r="C858" s="12"/>
      <c r="D858" s="12"/>
      <c r="E858" s="12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11"/>
      <c r="B859" s="11"/>
      <c r="C859" s="12"/>
      <c r="D859" s="12"/>
      <c r="E859" s="12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11"/>
      <c r="B860" s="11"/>
      <c r="C860" s="12"/>
      <c r="D860" s="12"/>
      <c r="E860" s="12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11"/>
      <c r="B861" s="11"/>
      <c r="C861" s="12"/>
      <c r="D861" s="12"/>
      <c r="E861" s="12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11"/>
      <c r="B862" s="11"/>
      <c r="C862" s="12"/>
      <c r="D862" s="12"/>
      <c r="E862" s="12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11"/>
      <c r="B863" s="11"/>
      <c r="C863" s="12"/>
      <c r="D863" s="12"/>
      <c r="E863" s="12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11"/>
      <c r="B864" s="11"/>
      <c r="C864" s="12"/>
      <c r="D864" s="12"/>
      <c r="E864" s="12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11"/>
      <c r="B865" s="11"/>
      <c r="C865" s="12"/>
      <c r="D865" s="12"/>
      <c r="E865" s="12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11"/>
      <c r="B866" s="11"/>
      <c r="C866" s="12"/>
      <c r="D866" s="12"/>
      <c r="E866" s="12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11"/>
      <c r="B867" s="11"/>
      <c r="C867" s="12"/>
      <c r="D867" s="12"/>
      <c r="E867" s="12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11"/>
      <c r="B868" s="11"/>
      <c r="C868" s="12"/>
      <c r="D868" s="12"/>
      <c r="E868" s="12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11"/>
      <c r="B869" s="11"/>
      <c r="C869" s="12"/>
      <c r="D869" s="12"/>
      <c r="E869" s="12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11"/>
      <c r="B870" s="11"/>
      <c r="C870" s="12"/>
      <c r="D870" s="12"/>
      <c r="E870" s="12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11"/>
      <c r="B871" s="11"/>
      <c r="C871" s="12"/>
      <c r="D871" s="12"/>
      <c r="E871" s="12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11"/>
      <c r="B872" s="11"/>
      <c r="C872" s="12"/>
      <c r="D872" s="12"/>
      <c r="E872" s="12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11"/>
      <c r="B873" s="11"/>
      <c r="C873" s="12"/>
      <c r="D873" s="12"/>
      <c r="E873" s="12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11"/>
      <c r="B874" s="11"/>
      <c r="C874" s="12"/>
      <c r="D874" s="12"/>
      <c r="E874" s="12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11"/>
      <c r="B875" s="11"/>
      <c r="C875" s="12"/>
      <c r="D875" s="12"/>
      <c r="E875" s="12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11"/>
      <c r="B876" s="11"/>
      <c r="C876" s="12"/>
      <c r="D876" s="12"/>
      <c r="E876" s="12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11"/>
      <c r="B877" s="11"/>
      <c r="C877" s="12"/>
      <c r="D877" s="12"/>
      <c r="E877" s="12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11"/>
      <c r="B878" s="11"/>
      <c r="C878" s="12"/>
      <c r="D878" s="12"/>
      <c r="E878" s="12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11"/>
      <c r="B879" s="11"/>
      <c r="C879" s="12"/>
      <c r="D879" s="12"/>
      <c r="E879" s="12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11"/>
      <c r="B880" s="11"/>
      <c r="C880" s="12"/>
      <c r="D880" s="12"/>
      <c r="E880" s="12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11"/>
      <c r="B881" s="11"/>
      <c r="C881" s="12"/>
      <c r="D881" s="12"/>
      <c r="E881" s="12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11"/>
      <c r="B882" s="11"/>
      <c r="C882" s="12"/>
      <c r="D882" s="12"/>
      <c r="E882" s="12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11"/>
      <c r="B883" s="11"/>
      <c r="C883" s="12"/>
      <c r="D883" s="12"/>
      <c r="E883" s="12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11"/>
      <c r="B884" s="11"/>
      <c r="C884" s="12"/>
      <c r="D884" s="12"/>
      <c r="E884" s="12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11"/>
      <c r="B885" s="11"/>
      <c r="C885" s="12"/>
      <c r="D885" s="12"/>
      <c r="E885" s="12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11"/>
      <c r="B886" s="11"/>
      <c r="C886" s="12"/>
      <c r="D886" s="12"/>
      <c r="E886" s="12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11"/>
      <c r="B887" s="11"/>
      <c r="C887" s="12"/>
      <c r="D887" s="12"/>
      <c r="E887" s="12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11"/>
      <c r="B888" s="11"/>
      <c r="C888" s="12"/>
      <c r="D888" s="12"/>
      <c r="E888" s="12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11"/>
      <c r="B889" s="11"/>
      <c r="C889" s="12"/>
      <c r="D889" s="12"/>
      <c r="E889" s="12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11"/>
      <c r="B890" s="11"/>
      <c r="C890" s="12"/>
      <c r="D890" s="12"/>
      <c r="E890" s="12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11"/>
      <c r="B891" s="11"/>
      <c r="C891" s="12"/>
      <c r="D891" s="12"/>
      <c r="E891" s="12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11"/>
      <c r="B892" s="11"/>
      <c r="C892" s="12"/>
      <c r="D892" s="12"/>
      <c r="E892" s="12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11"/>
      <c r="B893" s="11"/>
      <c r="C893" s="12"/>
      <c r="D893" s="12"/>
      <c r="E893" s="12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11"/>
      <c r="B894" s="11"/>
      <c r="C894" s="12"/>
      <c r="D894" s="12"/>
      <c r="E894" s="12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11"/>
      <c r="B895" s="11"/>
      <c r="C895" s="12"/>
      <c r="D895" s="12"/>
      <c r="E895" s="12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11"/>
      <c r="B896" s="11"/>
      <c r="C896" s="12"/>
      <c r="D896" s="12"/>
      <c r="E896" s="12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11"/>
      <c r="B897" s="11"/>
      <c r="C897" s="12"/>
      <c r="D897" s="12"/>
      <c r="E897" s="12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11"/>
      <c r="B898" s="11"/>
      <c r="C898" s="12"/>
      <c r="D898" s="12"/>
      <c r="E898" s="12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11"/>
      <c r="B899" s="11"/>
      <c r="C899" s="12"/>
      <c r="D899" s="12"/>
      <c r="E899" s="12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11"/>
      <c r="B900" s="11"/>
      <c r="C900" s="12"/>
      <c r="D900" s="12"/>
      <c r="E900" s="12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11"/>
      <c r="B901" s="11"/>
      <c r="C901" s="12"/>
      <c r="D901" s="12"/>
      <c r="E901" s="12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11"/>
      <c r="B902" s="11"/>
      <c r="C902" s="12"/>
      <c r="D902" s="12"/>
      <c r="E902" s="12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11"/>
      <c r="B903" s="11"/>
      <c r="C903" s="12"/>
      <c r="D903" s="12"/>
      <c r="E903" s="12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11"/>
      <c r="B904" s="11"/>
      <c r="C904" s="12"/>
      <c r="D904" s="12"/>
      <c r="E904" s="12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11"/>
      <c r="B905" s="11"/>
      <c r="C905" s="12"/>
      <c r="D905" s="12"/>
      <c r="E905" s="12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11"/>
      <c r="B906" s="11"/>
      <c r="C906" s="12"/>
      <c r="D906" s="12"/>
      <c r="E906" s="12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11"/>
      <c r="B907" s="11"/>
      <c r="C907" s="12"/>
      <c r="D907" s="12"/>
      <c r="E907" s="12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11"/>
      <c r="B908" s="11"/>
      <c r="C908" s="12"/>
      <c r="D908" s="12"/>
      <c r="E908" s="12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11"/>
      <c r="B909" s="11"/>
      <c r="C909" s="12"/>
      <c r="D909" s="12"/>
      <c r="E909" s="12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11"/>
      <c r="B910" s="11"/>
      <c r="C910" s="12"/>
      <c r="D910" s="12"/>
      <c r="E910" s="12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11"/>
      <c r="B911" s="11"/>
      <c r="C911" s="12"/>
      <c r="D911" s="12"/>
      <c r="E911" s="12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1"/>
      <c r="B912" s="11"/>
      <c r="C912" s="12"/>
      <c r="D912" s="12"/>
      <c r="E912" s="12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11"/>
      <c r="B913" s="11"/>
      <c r="C913" s="12"/>
      <c r="D913" s="12"/>
      <c r="E913" s="12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11"/>
      <c r="B914" s="11"/>
      <c r="C914" s="12"/>
      <c r="D914" s="12"/>
      <c r="E914" s="12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11"/>
      <c r="B915" s="11"/>
      <c r="C915" s="12"/>
      <c r="D915" s="12"/>
      <c r="E915" s="12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11"/>
      <c r="B916" s="11"/>
      <c r="C916" s="12"/>
      <c r="D916" s="12"/>
      <c r="E916" s="12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11"/>
      <c r="B917" s="11"/>
      <c r="C917" s="12"/>
      <c r="D917" s="12"/>
      <c r="E917" s="12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11"/>
      <c r="B918" s="11"/>
      <c r="C918" s="12"/>
      <c r="D918" s="12"/>
      <c r="E918" s="12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11"/>
      <c r="B919" s="11"/>
      <c r="C919" s="12"/>
      <c r="D919" s="12"/>
      <c r="E919" s="12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11"/>
      <c r="B920" s="11"/>
      <c r="C920" s="12"/>
      <c r="D920" s="12"/>
      <c r="E920" s="12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11"/>
      <c r="B921" s="11"/>
      <c r="C921" s="12"/>
      <c r="D921" s="12"/>
      <c r="E921" s="12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11"/>
      <c r="B922" s="11"/>
      <c r="C922" s="12"/>
      <c r="D922" s="12"/>
      <c r="E922" s="12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11"/>
      <c r="B923" s="11"/>
      <c r="C923" s="12"/>
      <c r="D923" s="12"/>
      <c r="E923" s="12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11"/>
      <c r="B924" s="11"/>
      <c r="C924" s="12"/>
      <c r="D924" s="12"/>
      <c r="E924" s="12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11"/>
      <c r="B925" s="11"/>
      <c r="C925" s="12"/>
      <c r="D925" s="12"/>
      <c r="E925" s="12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11"/>
      <c r="B926" s="11"/>
      <c r="C926" s="12"/>
      <c r="D926" s="12"/>
      <c r="E926" s="12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11"/>
      <c r="B927" s="11"/>
      <c r="C927" s="12"/>
      <c r="D927" s="12"/>
      <c r="E927" s="12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11"/>
      <c r="B928" s="11"/>
      <c r="C928" s="12"/>
      <c r="D928" s="12"/>
      <c r="E928" s="12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11"/>
      <c r="B929" s="11"/>
      <c r="C929" s="12"/>
      <c r="D929" s="12"/>
      <c r="E929" s="12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11"/>
      <c r="B930" s="11"/>
      <c r="C930" s="12"/>
      <c r="D930" s="12"/>
      <c r="E930" s="12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11"/>
      <c r="B931" s="11"/>
      <c r="C931" s="12"/>
      <c r="D931" s="12"/>
      <c r="E931" s="12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11"/>
      <c r="B932" s="11"/>
      <c r="C932" s="12"/>
      <c r="D932" s="12"/>
      <c r="E932" s="12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11"/>
      <c r="B933" s="11"/>
      <c r="C933" s="12"/>
      <c r="D933" s="12"/>
      <c r="E933" s="12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11"/>
      <c r="B934" s="11"/>
      <c r="C934" s="12"/>
      <c r="D934" s="12"/>
      <c r="E934" s="12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11"/>
      <c r="B935" s="11"/>
      <c r="C935" s="12"/>
      <c r="D935" s="12"/>
      <c r="E935" s="12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11"/>
      <c r="B936" s="11"/>
      <c r="C936" s="12"/>
      <c r="D936" s="12"/>
      <c r="E936" s="12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11"/>
      <c r="B937" s="11"/>
      <c r="C937" s="12"/>
      <c r="D937" s="12"/>
      <c r="E937" s="12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11"/>
      <c r="B938" s="11"/>
      <c r="C938" s="12"/>
      <c r="D938" s="12"/>
      <c r="E938" s="12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11"/>
      <c r="B939" s="11"/>
      <c r="C939" s="12"/>
      <c r="D939" s="12"/>
      <c r="E939" s="12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11"/>
      <c r="B940" s="11"/>
      <c r="C940" s="12"/>
      <c r="D940" s="12"/>
      <c r="E940" s="12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11"/>
      <c r="B941" s="11"/>
      <c r="C941" s="12"/>
      <c r="D941" s="12"/>
      <c r="E941" s="12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11"/>
      <c r="B942" s="11"/>
      <c r="C942" s="12"/>
      <c r="D942" s="12"/>
      <c r="E942" s="12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11"/>
      <c r="B943" s="11"/>
      <c r="C943" s="12"/>
      <c r="D943" s="12"/>
      <c r="E943" s="12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11"/>
      <c r="B944" s="11"/>
      <c r="C944" s="12"/>
      <c r="D944" s="12"/>
      <c r="E944" s="12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11"/>
      <c r="B945" s="11"/>
      <c r="C945" s="12"/>
      <c r="D945" s="12"/>
      <c r="E945" s="12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11"/>
      <c r="B946" s="11"/>
      <c r="C946" s="12"/>
      <c r="D946" s="12"/>
      <c r="E946" s="12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11"/>
      <c r="B947" s="11"/>
      <c r="C947" s="12"/>
      <c r="D947" s="12"/>
      <c r="E947" s="12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11"/>
      <c r="B948" s="11"/>
      <c r="C948" s="12"/>
      <c r="D948" s="12"/>
      <c r="E948" s="12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11"/>
      <c r="B949" s="11"/>
      <c r="C949" s="12"/>
      <c r="D949" s="12"/>
      <c r="E949" s="12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11"/>
      <c r="B950" s="11"/>
      <c r="C950" s="12"/>
      <c r="D950" s="12"/>
      <c r="E950" s="12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11"/>
      <c r="B951" s="11"/>
      <c r="C951" s="12"/>
      <c r="D951" s="12"/>
      <c r="E951" s="12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11"/>
      <c r="B952" s="11"/>
      <c r="C952" s="12"/>
      <c r="D952" s="12"/>
      <c r="E952" s="12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11"/>
      <c r="B953" s="11"/>
      <c r="C953" s="12"/>
      <c r="D953" s="12"/>
      <c r="E953" s="12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11"/>
      <c r="B954" s="11"/>
      <c r="C954" s="12"/>
      <c r="D954" s="12"/>
      <c r="E954" s="12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11"/>
      <c r="B955" s="11"/>
      <c r="C955" s="12"/>
      <c r="D955" s="12"/>
      <c r="E955" s="12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11"/>
      <c r="B956" s="11"/>
      <c r="C956" s="12"/>
      <c r="D956" s="12"/>
      <c r="E956" s="12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11"/>
      <c r="B957" s="11"/>
      <c r="C957" s="12"/>
      <c r="D957" s="12"/>
      <c r="E957" s="12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11"/>
      <c r="B958" s="11"/>
      <c r="C958" s="12"/>
      <c r="D958" s="12"/>
      <c r="E958" s="12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11"/>
      <c r="B959" s="11"/>
      <c r="C959" s="12"/>
      <c r="D959" s="12"/>
      <c r="E959" s="12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11"/>
      <c r="B960" s="11"/>
      <c r="C960" s="12"/>
      <c r="D960" s="12"/>
      <c r="E960" s="12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11"/>
      <c r="B961" s="11"/>
      <c r="C961" s="12"/>
      <c r="D961" s="12"/>
      <c r="E961" s="12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11"/>
      <c r="B962" s="11"/>
      <c r="C962" s="12"/>
      <c r="D962" s="12"/>
      <c r="E962" s="12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11"/>
      <c r="B963" s="11"/>
      <c r="C963" s="12"/>
      <c r="D963" s="12"/>
      <c r="E963" s="12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11"/>
      <c r="B964" s="11"/>
      <c r="C964" s="12"/>
      <c r="D964" s="12"/>
      <c r="E964" s="12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11"/>
      <c r="B965" s="11"/>
      <c r="C965" s="12"/>
      <c r="D965" s="12"/>
      <c r="E965" s="12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11"/>
      <c r="B966" s="11"/>
      <c r="C966" s="12"/>
      <c r="D966" s="12"/>
      <c r="E966" s="12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11"/>
      <c r="B967" s="11"/>
      <c r="C967" s="12"/>
      <c r="D967" s="12"/>
      <c r="E967" s="12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11"/>
      <c r="B968" s="11"/>
      <c r="C968" s="12"/>
      <c r="D968" s="12"/>
      <c r="E968" s="12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11"/>
      <c r="B969" s="11"/>
      <c r="C969" s="12"/>
      <c r="D969" s="12"/>
      <c r="E969" s="12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11"/>
      <c r="B970" s="11"/>
      <c r="C970" s="12"/>
      <c r="D970" s="12"/>
      <c r="E970" s="12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11"/>
      <c r="B971" s="11"/>
      <c r="C971" s="12"/>
      <c r="D971" s="12"/>
      <c r="E971" s="12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11"/>
      <c r="B972" s="11"/>
      <c r="C972" s="12"/>
      <c r="D972" s="12"/>
      <c r="E972" s="12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11"/>
      <c r="B973" s="11"/>
      <c r="C973" s="12"/>
      <c r="D973" s="12"/>
      <c r="E973" s="12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11"/>
      <c r="B974" s="11"/>
      <c r="C974" s="12"/>
      <c r="D974" s="12"/>
      <c r="E974" s="12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11"/>
      <c r="B975" s="11"/>
      <c r="C975" s="12"/>
      <c r="D975" s="12"/>
      <c r="E975" s="12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11"/>
      <c r="B976" s="11"/>
      <c r="C976" s="12"/>
      <c r="D976" s="12"/>
      <c r="E976" s="12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11"/>
      <c r="B977" s="11"/>
      <c r="C977" s="12"/>
      <c r="D977" s="12"/>
      <c r="E977" s="12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11"/>
      <c r="B978" s="11"/>
      <c r="C978" s="12"/>
      <c r="D978" s="12"/>
      <c r="E978" s="12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11"/>
      <c r="B979" s="11"/>
      <c r="C979" s="12"/>
      <c r="D979" s="12"/>
      <c r="E979" s="12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11"/>
      <c r="B980" s="11"/>
      <c r="C980" s="12"/>
      <c r="D980" s="12"/>
      <c r="E980" s="12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11"/>
      <c r="B981" s="11"/>
      <c r="C981" s="12"/>
      <c r="D981" s="12"/>
      <c r="E981" s="12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11"/>
      <c r="B982" s="11"/>
      <c r="C982" s="12"/>
      <c r="D982" s="12"/>
      <c r="E982" s="12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11"/>
      <c r="B983" s="11"/>
      <c r="C983" s="12"/>
      <c r="D983" s="12"/>
      <c r="E983" s="12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11"/>
      <c r="B984" s="11"/>
      <c r="C984" s="12"/>
      <c r="D984" s="12"/>
      <c r="E984" s="12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11"/>
      <c r="B985" s="11"/>
      <c r="C985" s="12"/>
      <c r="D985" s="12"/>
      <c r="E985" s="12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11"/>
      <c r="B986" s="11"/>
      <c r="C986" s="12"/>
      <c r="D986" s="12"/>
      <c r="E986" s="12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11"/>
      <c r="B987" s="11"/>
      <c r="C987" s="12"/>
      <c r="D987" s="12"/>
      <c r="E987" s="12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11"/>
      <c r="B988" s="11"/>
      <c r="C988" s="12"/>
      <c r="D988" s="12"/>
      <c r="E988" s="12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11"/>
      <c r="B989" s="11"/>
      <c r="C989" s="12"/>
      <c r="D989" s="12"/>
      <c r="E989" s="12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11"/>
      <c r="B990" s="11"/>
      <c r="C990" s="12"/>
      <c r="D990" s="12"/>
      <c r="E990" s="12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11"/>
      <c r="B991" s="11"/>
      <c r="C991" s="12"/>
      <c r="D991" s="12"/>
      <c r="E991" s="12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11"/>
      <c r="B992" s="11"/>
      <c r="C992" s="12"/>
      <c r="D992" s="12"/>
      <c r="E992" s="12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11"/>
      <c r="B993" s="11"/>
      <c r="C993" s="12"/>
      <c r="D993" s="12"/>
      <c r="E993" s="12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11"/>
      <c r="B994" s="11"/>
      <c r="C994" s="12"/>
      <c r="D994" s="12"/>
      <c r="E994" s="12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11"/>
      <c r="B995" s="11"/>
      <c r="C995" s="12"/>
      <c r="D995" s="12"/>
      <c r="E995" s="12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11"/>
      <c r="B996" s="11"/>
      <c r="C996" s="12"/>
      <c r="D996" s="12"/>
      <c r="E996" s="12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</sheetData>
  <hyperlinks>
    <hyperlink r:id="rId2" ref="F45"/>
    <hyperlink r:id="rId3" ref="F102"/>
    <hyperlink r:id="rId4" ref="F114"/>
    <hyperlink r:id="rId5" ref="F152"/>
    <hyperlink r:id="rId6" ref="F157"/>
    <hyperlink r:id="rId7" ref="F162"/>
    <hyperlink r:id="rId8" ref="F182"/>
    <hyperlink r:id="rId9" ref="F184"/>
    <hyperlink r:id="rId10" ref="F185"/>
    <hyperlink r:id="rId11" ref="F187"/>
    <hyperlink r:id="rId12" ref="F199"/>
    <hyperlink r:id="rId13" ref="F208"/>
    <hyperlink r:id="rId14" ref="F209"/>
    <hyperlink r:id="rId15" ref="F210"/>
    <hyperlink r:id="rId16" ref="F215"/>
    <hyperlink r:id="rId17" ref="F221"/>
    <hyperlink r:id="rId18" ref="F224"/>
    <hyperlink r:id="rId19" ref="F226"/>
    <hyperlink r:id="rId20" ref="F234"/>
    <hyperlink r:id="rId21" ref="F237"/>
    <hyperlink r:id="rId22" ref="F238"/>
    <hyperlink r:id="rId23" ref="F244"/>
    <hyperlink r:id="rId24" ref="F247"/>
    <hyperlink r:id="rId25" ref="F248"/>
    <hyperlink r:id="rId26" ref="F249"/>
    <hyperlink r:id="rId27" ref="F250"/>
    <hyperlink r:id="rId28" ref="F251"/>
    <hyperlink r:id="rId29" ref="F252"/>
    <hyperlink r:id="rId30" ref="F253"/>
    <hyperlink r:id="rId31" ref="F254"/>
    <hyperlink r:id="rId32" ref="F255"/>
    <hyperlink r:id="rId33" ref="F256"/>
    <hyperlink r:id="rId34" ref="F257"/>
    <hyperlink r:id="rId35" ref="F258"/>
    <hyperlink r:id="rId36" ref="F259"/>
    <hyperlink r:id="rId37" ref="F260"/>
    <hyperlink r:id="rId38" ref="F261"/>
    <hyperlink r:id="rId39" ref="F262"/>
    <hyperlink r:id="rId40" ref="F263"/>
    <hyperlink r:id="rId41" ref="F264"/>
    <hyperlink r:id="rId42" ref="F265"/>
    <hyperlink r:id="rId43" ref="F266"/>
    <hyperlink r:id="rId44" ref="F267"/>
  </hyperlinks>
  <drawing r:id="rId45"/>
  <legacy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36.75"/>
    <col customWidth="1" min="5" max="5" width="16.63"/>
    <col customWidth="1" min="6" max="6" width="52.25"/>
    <col customWidth="1" min="7" max="7" width="20.13"/>
  </cols>
  <sheetData>
    <row r="1">
      <c r="A1" s="42" t="s">
        <v>1</v>
      </c>
      <c r="B1" s="43" t="s">
        <v>444</v>
      </c>
      <c r="C1" s="42" t="s">
        <v>445</v>
      </c>
      <c r="D1" s="42" t="s">
        <v>3</v>
      </c>
      <c r="E1" s="44" t="s">
        <v>446</v>
      </c>
      <c r="F1" s="43" t="s">
        <v>447</v>
      </c>
      <c r="G1" s="42" t="s">
        <v>448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2" t="s">
        <v>312</v>
      </c>
      <c r="B2" s="43" t="s">
        <v>449</v>
      </c>
      <c r="C2" s="42" t="s">
        <v>450</v>
      </c>
      <c r="D2" s="42" t="s">
        <v>451</v>
      </c>
      <c r="E2" s="44">
        <v>45997.22916666667</v>
      </c>
      <c r="F2" s="43" t="s">
        <v>452</v>
      </c>
      <c r="G2" s="42" t="s">
        <v>453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2" t="s">
        <v>328</v>
      </c>
      <c r="B3" s="43" t="s">
        <v>454</v>
      </c>
      <c r="C3" s="42" t="s">
        <v>453</v>
      </c>
      <c r="D3" s="42" t="s">
        <v>451</v>
      </c>
      <c r="E3" s="44">
        <v>45999.22916666667</v>
      </c>
      <c r="F3" s="43" t="s">
        <v>455</v>
      </c>
      <c r="G3" s="42" t="s">
        <v>453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2" t="s">
        <v>64</v>
      </c>
      <c r="B4" s="43" t="s">
        <v>456</v>
      </c>
      <c r="C4" s="42" t="s">
        <v>457</v>
      </c>
      <c r="D4" s="42" t="s">
        <v>451</v>
      </c>
      <c r="E4" s="44">
        <v>46022.22916666667</v>
      </c>
      <c r="F4" s="43" t="s">
        <v>458</v>
      </c>
      <c r="G4" s="42" t="s">
        <v>459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2" t="s">
        <v>332</v>
      </c>
      <c r="B5" s="43" t="s">
        <v>460</v>
      </c>
      <c r="C5" s="42" t="s">
        <v>450</v>
      </c>
      <c r="D5" s="42" t="s">
        <v>451</v>
      </c>
      <c r="E5" s="44">
        <v>45996.22916666667</v>
      </c>
      <c r="F5" s="43" t="s">
        <v>461</v>
      </c>
      <c r="G5" s="42" t="s">
        <v>450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2" t="s">
        <v>318</v>
      </c>
      <c r="B6" s="43" t="s">
        <v>462</v>
      </c>
      <c r="C6" s="42" t="s">
        <v>457</v>
      </c>
      <c r="D6" s="42" t="s">
        <v>451</v>
      </c>
      <c r="E6" s="44">
        <v>46158.22916666667</v>
      </c>
      <c r="F6" s="43" t="s">
        <v>463</v>
      </c>
      <c r="G6" s="42" t="s">
        <v>457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2" t="s">
        <v>318</v>
      </c>
      <c r="B7" s="43" t="s">
        <v>464</v>
      </c>
      <c r="C7" s="42" t="s">
        <v>457</v>
      </c>
      <c r="D7" s="42" t="s">
        <v>451</v>
      </c>
      <c r="E7" s="44">
        <v>46154.22916666667</v>
      </c>
      <c r="F7" s="43" t="s">
        <v>465</v>
      </c>
      <c r="G7" s="42" t="s">
        <v>457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2" t="s">
        <v>285</v>
      </c>
      <c r="B8" s="43" t="s">
        <v>466</v>
      </c>
      <c r="C8" s="42" t="s">
        <v>457</v>
      </c>
      <c r="D8" s="42" t="s">
        <v>451</v>
      </c>
      <c r="E8" s="44">
        <v>46150.22916666667</v>
      </c>
      <c r="F8" s="43" t="s">
        <v>467</v>
      </c>
      <c r="G8" s="42" t="s">
        <v>457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2" t="s">
        <v>334</v>
      </c>
      <c r="B9" s="43" t="s">
        <v>468</v>
      </c>
      <c r="C9" s="42" t="s">
        <v>457</v>
      </c>
      <c r="D9" s="42" t="s">
        <v>451</v>
      </c>
      <c r="E9" s="44">
        <v>46036.22916666667</v>
      </c>
      <c r="F9" s="43" t="s">
        <v>469</v>
      </c>
      <c r="G9" s="42" t="s">
        <v>457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2" t="s">
        <v>336</v>
      </c>
      <c r="B10" s="43" t="s">
        <v>468</v>
      </c>
      <c r="C10" s="42" t="s">
        <v>457</v>
      </c>
      <c r="D10" s="42" t="s">
        <v>451</v>
      </c>
      <c r="E10" s="44">
        <v>46000.22916666667</v>
      </c>
      <c r="F10" s="43" t="s">
        <v>470</v>
      </c>
      <c r="G10" s="42" t="s">
        <v>457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2" t="s">
        <v>430</v>
      </c>
      <c r="B11" s="43" t="s">
        <v>471</v>
      </c>
      <c r="C11" s="42" t="s">
        <v>457</v>
      </c>
      <c r="D11" s="42" t="s">
        <v>451</v>
      </c>
      <c r="E11" s="44">
        <v>46156.22916666667</v>
      </c>
      <c r="F11" s="43" t="s">
        <v>472</v>
      </c>
      <c r="G11" s="42" t="s">
        <v>457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2" t="s">
        <v>330</v>
      </c>
      <c r="B12" s="43" t="s">
        <v>473</v>
      </c>
      <c r="C12" s="42" t="s">
        <v>474</v>
      </c>
      <c r="D12" s="42" t="s">
        <v>451</v>
      </c>
      <c r="E12" s="44">
        <v>46001.22916666667</v>
      </c>
      <c r="F12" s="43" t="s">
        <v>475</v>
      </c>
      <c r="G12" s="42" t="s">
        <v>474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2" t="s">
        <v>326</v>
      </c>
      <c r="B13" s="43" t="s">
        <v>476</v>
      </c>
      <c r="C13" s="42" t="s">
        <v>474</v>
      </c>
      <c r="D13" s="42" t="s">
        <v>451</v>
      </c>
      <c r="E13" s="44">
        <v>45983.22916666667</v>
      </c>
      <c r="F13" s="43" t="s">
        <v>477</v>
      </c>
      <c r="G13" s="42" t="s">
        <v>474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2" t="s">
        <v>60</v>
      </c>
      <c r="B14" s="43" t="s">
        <v>464</v>
      </c>
      <c r="C14" s="42" t="s">
        <v>457</v>
      </c>
      <c r="D14" s="42" t="s">
        <v>451</v>
      </c>
      <c r="E14" s="44">
        <v>46028.22916666667</v>
      </c>
      <c r="F14" s="43" t="s">
        <v>478</v>
      </c>
      <c r="G14" s="42" t="s">
        <v>457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2" t="s">
        <v>60</v>
      </c>
      <c r="B15" s="43" t="s">
        <v>479</v>
      </c>
      <c r="C15" s="42" t="s">
        <v>480</v>
      </c>
      <c r="D15" s="42" t="s">
        <v>451</v>
      </c>
      <c r="E15" s="44">
        <v>46041.22916666667</v>
      </c>
      <c r="F15" s="43" t="s">
        <v>481</v>
      </c>
      <c r="G15" s="42" t="s">
        <v>482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2" t="s">
        <v>66</v>
      </c>
      <c r="B16" s="43" t="s">
        <v>483</v>
      </c>
      <c r="C16" s="42" t="s">
        <v>457</v>
      </c>
      <c r="D16" s="42" t="s">
        <v>484</v>
      </c>
      <c r="E16" s="44">
        <v>45999.22916666667</v>
      </c>
      <c r="F16" s="43" t="s">
        <v>485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2" t="s">
        <v>322</v>
      </c>
      <c r="B17" s="43" t="s">
        <v>476</v>
      </c>
      <c r="C17" s="42" t="s">
        <v>486</v>
      </c>
      <c r="D17" s="42" t="s">
        <v>451</v>
      </c>
      <c r="E17" s="44">
        <v>45988.22916666667</v>
      </c>
      <c r="F17" s="43" t="s">
        <v>487</v>
      </c>
      <c r="G17" s="42" t="s">
        <v>486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2" t="s">
        <v>246</v>
      </c>
      <c r="B18" s="43" t="s">
        <v>488</v>
      </c>
      <c r="C18" s="42" t="s">
        <v>486</v>
      </c>
      <c r="D18" s="42" t="s">
        <v>451</v>
      </c>
      <c r="E18" s="44">
        <v>46006.22916666667</v>
      </c>
      <c r="F18" s="43" t="s">
        <v>489</v>
      </c>
      <c r="G18" s="42" t="s">
        <v>486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2" t="s">
        <v>328</v>
      </c>
      <c r="B19" s="43" t="s">
        <v>490</v>
      </c>
      <c r="C19" s="42" t="s">
        <v>457</v>
      </c>
      <c r="D19" s="42" t="s">
        <v>451</v>
      </c>
      <c r="E19" s="44">
        <v>45992.22916666667</v>
      </c>
      <c r="F19" s="43" t="s">
        <v>491</v>
      </c>
      <c r="G19" s="42" t="s">
        <v>457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2" t="s">
        <v>312</v>
      </c>
      <c r="B20" s="43" t="s">
        <v>490</v>
      </c>
      <c r="C20" s="42" t="s">
        <v>457</v>
      </c>
      <c r="D20" s="42" t="s">
        <v>451</v>
      </c>
      <c r="E20" s="44">
        <v>45992.22916666667</v>
      </c>
      <c r="F20" s="43" t="s">
        <v>492</v>
      </c>
      <c r="G20" s="42" t="s">
        <v>457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2" t="s">
        <v>229</v>
      </c>
      <c r="B21" s="43" t="s">
        <v>493</v>
      </c>
      <c r="C21" s="42" t="s">
        <v>453</v>
      </c>
      <c r="D21" s="42" t="s">
        <v>451</v>
      </c>
      <c r="E21" s="44">
        <v>45887.22916666667</v>
      </c>
      <c r="F21" s="43" t="s">
        <v>494</v>
      </c>
      <c r="G21" s="42" t="s">
        <v>453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2" t="s">
        <v>222</v>
      </c>
      <c r="B22" s="43" t="s">
        <v>495</v>
      </c>
      <c r="C22" s="42" t="s">
        <v>457</v>
      </c>
      <c r="D22" s="42" t="s">
        <v>451</v>
      </c>
      <c r="E22" s="44">
        <v>46130.22916666667</v>
      </c>
      <c r="F22" s="43" t="s">
        <v>496</v>
      </c>
      <c r="G22" s="42" t="s">
        <v>497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2" t="s">
        <v>338</v>
      </c>
      <c r="B23" s="43" t="s">
        <v>490</v>
      </c>
      <c r="C23" s="42" t="s">
        <v>457</v>
      </c>
      <c r="D23" s="42" t="s">
        <v>451</v>
      </c>
      <c r="E23" s="44">
        <v>45995.22916666667</v>
      </c>
      <c r="F23" s="43" t="s">
        <v>498</v>
      </c>
      <c r="G23" s="42" t="s">
        <v>457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2" t="s">
        <v>325</v>
      </c>
      <c r="B24" s="43" t="s">
        <v>490</v>
      </c>
      <c r="C24" s="42" t="s">
        <v>457</v>
      </c>
      <c r="D24" s="42" t="s">
        <v>451</v>
      </c>
      <c r="E24" s="46">
        <v>45986.22916666667</v>
      </c>
      <c r="F24" s="43" t="s">
        <v>499</v>
      </c>
      <c r="G24" s="42" t="s">
        <v>457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2" t="s">
        <v>336</v>
      </c>
      <c r="B25" s="43" t="s">
        <v>490</v>
      </c>
      <c r="C25" s="42" t="s">
        <v>457</v>
      </c>
      <c r="D25" s="42" t="s">
        <v>451</v>
      </c>
      <c r="E25" s="46">
        <v>45992.22916666667</v>
      </c>
      <c r="F25" s="43" t="s">
        <v>500</v>
      </c>
      <c r="G25" s="42" t="s">
        <v>457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2" t="s">
        <v>332</v>
      </c>
      <c r="B26" s="43" t="s">
        <v>490</v>
      </c>
      <c r="C26" s="42" t="s">
        <v>457</v>
      </c>
      <c r="D26" s="42" t="s">
        <v>451</v>
      </c>
      <c r="E26" s="46">
        <v>45992.22916666667</v>
      </c>
      <c r="F26" s="43" t="s">
        <v>501</v>
      </c>
      <c r="G26" s="42" t="s">
        <v>457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7" t="s">
        <v>502</v>
      </c>
      <c r="B27" s="47" t="s">
        <v>503</v>
      </c>
      <c r="C27" s="48" t="s">
        <v>457</v>
      </c>
      <c r="D27" s="42" t="s">
        <v>451</v>
      </c>
      <c r="E27" s="46">
        <v>45992.22916666667</v>
      </c>
      <c r="F27" s="49" t="s">
        <v>504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7" t="s">
        <v>502</v>
      </c>
      <c r="B28" s="47" t="s">
        <v>505</v>
      </c>
      <c r="C28" s="48" t="s">
        <v>457</v>
      </c>
      <c r="D28" s="42" t="s">
        <v>451</v>
      </c>
      <c r="E28" s="46">
        <v>45992.22916666667</v>
      </c>
      <c r="F28" s="49" t="s">
        <v>506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2" t="s">
        <v>325</v>
      </c>
      <c r="B29" s="43" t="s">
        <v>507</v>
      </c>
      <c r="C29" s="42" t="s">
        <v>486</v>
      </c>
      <c r="D29" s="42" t="s">
        <v>451</v>
      </c>
      <c r="E29" s="46">
        <v>45996.22916666667</v>
      </c>
      <c r="F29" s="43" t="s">
        <v>508</v>
      </c>
      <c r="G29" s="42" t="s">
        <v>486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2" t="s">
        <v>315</v>
      </c>
      <c r="B30" s="43" t="s">
        <v>509</v>
      </c>
      <c r="C30" s="42" t="s">
        <v>510</v>
      </c>
      <c r="D30" s="42" t="s">
        <v>451</v>
      </c>
      <c r="E30" s="46">
        <v>46057.22916666667</v>
      </c>
      <c r="F30" s="43" t="s">
        <v>511</v>
      </c>
      <c r="G30" s="42" t="s">
        <v>480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2" t="s">
        <v>339</v>
      </c>
      <c r="B31" s="43" t="s">
        <v>468</v>
      </c>
      <c r="C31" s="42" t="s">
        <v>457</v>
      </c>
      <c r="D31" s="42" t="s">
        <v>451</v>
      </c>
      <c r="E31" s="46">
        <v>45996.22916666667</v>
      </c>
      <c r="F31" s="43" t="s">
        <v>512</v>
      </c>
      <c r="G31" s="42" t="s">
        <v>457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2" t="s">
        <v>339</v>
      </c>
      <c r="B32" s="43" t="s">
        <v>490</v>
      </c>
      <c r="C32" s="42" t="s">
        <v>457</v>
      </c>
      <c r="D32" s="42" t="s">
        <v>451</v>
      </c>
      <c r="E32" s="46">
        <v>45995.22916666667</v>
      </c>
      <c r="F32" s="43" t="s">
        <v>513</v>
      </c>
      <c r="G32" s="42" t="s">
        <v>457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 t="s">
        <v>215</v>
      </c>
      <c r="B33" s="43" t="s">
        <v>490</v>
      </c>
      <c r="C33" s="45" t="s">
        <v>514</v>
      </c>
      <c r="D33" s="42" t="s">
        <v>451</v>
      </c>
      <c r="E33" s="50">
        <v>45735.0</v>
      </c>
      <c r="F33" s="49" t="s">
        <v>515</v>
      </c>
      <c r="G33" s="48" t="s">
        <v>457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 t="s">
        <v>206</v>
      </c>
      <c r="B34" s="43" t="s">
        <v>490</v>
      </c>
      <c r="C34" s="45" t="s">
        <v>514</v>
      </c>
      <c r="D34" s="42" t="s">
        <v>451</v>
      </c>
      <c r="E34" s="50">
        <v>45740.0</v>
      </c>
      <c r="F34" s="49" t="s">
        <v>516</v>
      </c>
      <c r="G34" s="48" t="s">
        <v>457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2" t="s">
        <v>259</v>
      </c>
      <c r="B35" s="43" t="s">
        <v>490</v>
      </c>
      <c r="C35" s="42" t="s">
        <v>457</v>
      </c>
      <c r="D35" s="42" t="s">
        <v>451</v>
      </c>
      <c r="E35" s="51">
        <v>45932.22916666667</v>
      </c>
      <c r="F35" s="43" t="s">
        <v>517</v>
      </c>
      <c r="G35" s="52" t="s">
        <v>457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 t="s">
        <v>518</v>
      </c>
      <c r="B36" s="43" t="s">
        <v>490</v>
      </c>
      <c r="C36" s="45" t="s">
        <v>453</v>
      </c>
      <c r="D36" s="42" t="s">
        <v>451</v>
      </c>
      <c r="E36" s="50">
        <v>45736.0</v>
      </c>
      <c r="F36" s="49" t="s">
        <v>519</v>
      </c>
      <c r="G36" s="48" t="s">
        <v>453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 t="s">
        <v>520</v>
      </c>
      <c r="B37" s="43" t="s">
        <v>490</v>
      </c>
      <c r="C37" s="45" t="s">
        <v>521</v>
      </c>
      <c r="D37" s="42" t="s">
        <v>451</v>
      </c>
      <c r="E37" s="50"/>
      <c r="F37" s="49" t="s">
        <v>522</v>
      </c>
      <c r="G37" s="48" t="s">
        <v>457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2" t="s">
        <v>70</v>
      </c>
      <c r="B38" s="43" t="s">
        <v>523</v>
      </c>
      <c r="C38" s="42" t="s">
        <v>457</v>
      </c>
      <c r="D38" s="42" t="s">
        <v>451</v>
      </c>
      <c r="E38" s="50"/>
      <c r="F38" s="43" t="s">
        <v>524</v>
      </c>
      <c r="G38" s="52" t="s">
        <v>457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2" t="s">
        <v>525</v>
      </c>
      <c r="B39" s="43" t="s">
        <v>490</v>
      </c>
      <c r="C39" s="42" t="s">
        <v>457</v>
      </c>
      <c r="D39" s="42" t="s">
        <v>451</v>
      </c>
      <c r="E39" s="50"/>
      <c r="F39" s="43" t="s">
        <v>526</v>
      </c>
      <c r="G39" s="52" t="s">
        <v>457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2" t="s">
        <v>279</v>
      </c>
      <c r="B40" s="43" t="s">
        <v>490</v>
      </c>
      <c r="C40" s="42" t="s">
        <v>457</v>
      </c>
      <c r="D40" s="42" t="s">
        <v>451</v>
      </c>
      <c r="E40" s="50"/>
      <c r="F40" s="43" t="s">
        <v>527</v>
      </c>
      <c r="G40" s="52" t="s">
        <v>457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2" t="s">
        <v>286</v>
      </c>
      <c r="B41" s="43" t="s">
        <v>490</v>
      </c>
      <c r="C41" s="42" t="s">
        <v>457</v>
      </c>
      <c r="D41" s="42" t="s">
        <v>451</v>
      </c>
      <c r="E41" s="51">
        <v>45876.22916666667</v>
      </c>
      <c r="F41" s="43" t="s">
        <v>528</v>
      </c>
      <c r="G41" s="52" t="s">
        <v>457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2" t="s">
        <v>285</v>
      </c>
      <c r="B42" s="43" t="s">
        <v>490</v>
      </c>
      <c r="C42" s="42" t="s">
        <v>457</v>
      </c>
      <c r="D42" s="42" t="s">
        <v>451</v>
      </c>
      <c r="E42" s="51">
        <v>45877.22916666667</v>
      </c>
      <c r="F42" s="43" t="s">
        <v>529</v>
      </c>
      <c r="G42" s="52" t="s">
        <v>457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 t="s">
        <v>283</v>
      </c>
      <c r="B43" s="43" t="s">
        <v>490</v>
      </c>
      <c r="C43" s="45" t="s">
        <v>457</v>
      </c>
      <c r="D43" s="42" t="s">
        <v>451</v>
      </c>
      <c r="E43" s="50">
        <v>45877.0</v>
      </c>
      <c r="F43" s="49" t="s">
        <v>530</v>
      </c>
      <c r="G43" s="48" t="s">
        <v>457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 t="s">
        <v>531</v>
      </c>
      <c r="B44" s="43" t="s">
        <v>490</v>
      </c>
      <c r="C44" s="45" t="s">
        <v>457</v>
      </c>
      <c r="D44" s="42" t="s">
        <v>451</v>
      </c>
      <c r="E44" s="50">
        <v>45876.0</v>
      </c>
      <c r="F44" s="49" t="s">
        <v>532</v>
      </c>
      <c r="G44" s="48" t="s">
        <v>457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 t="s">
        <v>533</v>
      </c>
      <c r="B45" s="43" t="s">
        <v>490</v>
      </c>
      <c r="C45" s="45" t="s">
        <v>457</v>
      </c>
      <c r="D45" s="42" t="s">
        <v>451</v>
      </c>
      <c r="E45" s="50">
        <v>45910.0</v>
      </c>
      <c r="F45" s="49" t="s">
        <v>534</v>
      </c>
      <c r="G45" s="48" t="s">
        <v>457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 t="s">
        <v>535</v>
      </c>
      <c r="B46" s="43" t="s">
        <v>490</v>
      </c>
      <c r="C46" s="45" t="s">
        <v>457</v>
      </c>
      <c r="D46" s="42" t="s">
        <v>451</v>
      </c>
      <c r="E46" s="50">
        <v>45528.0</v>
      </c>
      <c r="F46" s="49" t="s">
        <v>536</v>
      </c>
      <c r="G46" s="48" t="s">
        <v>457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2" t="s">
        <v>302</v>
      </c>
      <c r="B47" s="43" t="s">
        <v>523</v>
      </c>
      <c r="C47" s="42" t="s">
        <v>457</v>
      </c>
      <c r="D47" s="42" t="s">
        <v>451</v>
      </c>
      <c r="E47" s="51">
        <v>45535.22916666667</v>
      </c>
      <c r="F47" s="43" t="s">
        <v>537</v>
      </c>
      <c r="G47" s="52" t="s">
        <v>457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 t="s">
        <v>315</v>
      </c>
      <c r="B48" s="43" t="s">
        <v>490</v>
      </c>
      <c r="C48" s="45" t="s">
        <v>457</v>
      </c>
      <c r="D48" s="42" t="s">
        <v>451</v>
      </c>
      <c r="E48" s="50">
        <v>45940.0</v>
      </c>
      <c r="F48" s="49" t="s">
        <v>538</v>
      </c>
      <c r="G48" s="48" t="s">
        <v>457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2" t="s">
        <v>332</v>
      </c>
      <c r="B49" s="43" t="s">
        <v>539</v>
      </c>
      <c r="C49" s="42" t="s">
        <v>450</v>
      </c>
      <c r="D49" s="42" t="s">
        <v>451</v>
      </c>
      <c r="E49" s="46">
        <v>45999.22916666667</v>
      </c>
      <c r="F49" s="43" t="s">
        <v>540</v>
      </c>
      <c r="G49" s="42" t="s">
        <v>541</v>
      </c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2" t="s">
        <v>259</v>
      </c>
      <c r="B50" s="43" t="s">
        <v>509</v>
      </c>
      <c r="C50" s="42" t="s">
        <v>480</v>
      </c>
      <c r="D50" s="42" t="s">
        <v>451</v>
      </c>
      <c r="E50" s="46">
        <v>45996.22916666667</v>
      </c>
      <c r="F50" s="43" t="s">
        <v>542</v>
      </c>
      <c r="G50" s="42" t="s">
        <v>453</v>
      </c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2" t="s">
        <v>259</v>
      </c>
      <c r="B51" s="43" t="s">
        <v>507</v>
      </c>
      <c r="C51" s="42" t="s">
        <v>486</v>
      </c>
      <c r="D51" s="42" t="s">
        <v>451</v>
      </c>
      <c r="E51" s="46">
        <v>45966.22916666667</v>
      </c>
      <c r="F51" s="43" t="s">
        <v>543</v>
      </c>
      <c r="G51" s="42" t="s">
        <v>486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2" t="s">
        <v>191</v>
      </c>
      <c r="B52" s="43" t="s">
        <v>509</v>
      </c>
      <c r="C52" s="42" t="s">
        <v>480</v>
      </c>
      <c r="D52" s="42" t="s">
        <v>484</v>
      </c>
      <c r="E52" s="46">
        <v>45999.22916666667</v>
      </c>
      <c r="F52" s="43" t="s">
        <v>544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2" t="s">
        <v>296</v>
      </c>
      <c r="B53" s="43" t="s">
        <v>545</v>
      </c>
      <c r="C53" s="42" t="s">
        <v>480</v>
      </c>
      <c r="D53" s="42" t="s">
        <v>484</v>
      </c>
      <c r="E53" s="46">
        <v>46137.22916666667</v>
      </c>
      <c r="F53" s="43" t="s">
        <v>546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2" t="s">
        <v>296</v>
      </c>
      <c r="B54" s="43" t="s">
        <v>507</v>
      </c>
      <c r="C54" s="42" t="s">
        <v>486</v>
      </c>
      <c r="D54" s="42" t="s">
        <v>451</v>
      </c>
      <c r="E54" s="46">
        <v>45989.22916666667</v>
      </c>
      <c r="F54" s="43" t="s">
        <v>547</v>
      </c>
      <c r="G54" s="42" t="s">
        <v>486</v>
      </c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2" t="s">
        <v>338</v>
      </c>
      <c r="B55" s="43" t="s">
        <v>468</v>
      </c>
      <c r="C55" s="42" t="s">
        <v>457</v>
      </c>
      <c r="D55" s="42" t="s">
        <v>451</v>
      </c>
      <c r="E55" s="46">
        <v>46002.22916666667</v>
      </c>
      <c r="F55" s="43" t="s">
        <v>548</v>
      </c>
      <c r="G55" s="42" t="s">
        <v>549</v>
      </c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2" t="s">
        <v>325</v>
      </c>
      <c r="B56" s="43" t="s">
        <v>509</v>
      </c>
      <c r="C56" s="42" t="s">
        <v>480</v>
      </c>
      <c r="D56" s="42" t="s">
        <v>451</v>
      </c>
      <c r="E56" s="46">
        <v>46057.22916666667</v>
      </c>
      <c r="F56" s="43" t="s">
        <v>550</v>
      </c>
      <c r="G56" s="42" t="s">
        <v>486</v>
      </c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2" t="s">
        <v>330</v>
      </c>
      <c r="B57" s="43" t="s">
        <v>509</v>
      </c>
      <c r="C57" s="42" t="s">
        <v>480</v>
      </c>
      <c r="D57" s="42" t="s">
        <v>451</v>
      </c>
      <c r="E57" s="46">
        <v>45999.22916666667</v>
      </c>
      <c r="F57" s="43" t="s">
        <v>551</v>
      </c>
      <c r="G57" s="42" t="s">
        <v>480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2" t="s">
        <v>330</v>
      </c>
      <c r="B58" s="43" t="s">
        <v>490</v>
      </c>
      <c r="C58" s="42" t="s">
        <v>474</v>
      </c>
      <c r="D58" s="42" t="s">
        <v>451</v>
      </c>
      <c r="E58" s="44">
        <v>45987.22916666667</v>
      </c>
      <c r="F58" s="43" t="s">
        <v>552</v>
      </c>
      <c r="G58" s="42" t="s">
        <v>474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2" t="s">
        <v>324</v>
      </c>
      <c r="B59" s="43" t="s">
        <v>507</v>
      </c>
      <c r="C59" s="42" t="s">
        <v>486</v>
      </c>
      <c r="D59" s="42" t="s">
        <v>451</v>
      </c>
      <c r="E59" s="46">
        <v>45999.22916666667</v>
      </c>
      <c r="F59" s="43" t="s">
        <v>553</v>
      </c>
      <c r="G59" s="42" t="s">
        <v>486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2" t="s">
        <v>324</v>
      </c>
      <c r="B60" s="43" t="s">
        <v>490</v>
      </c>
      <c r="C60" s="42" t="s">
        <v>486</v>
      </c>
      <c r="D60" s="42" t="s">
        <v>451</v>
      </c>
      <c r="E60" s="46">
        <v>45992.22916666667</v>
      </c>
      <c r="F60" s="43" t="s">
        <v>554</v>
      </c>
      <c r="G60" s="42" t="s">
        <v>486</v>
      </c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2" t="s">
        <v>343</v>
      </c>
      <c r="B61" s="43" t="s">
        <v>490</v>
      </c>
      <c r="C61" s="42" t="s">
        <v>457</v>
      </c>
      <c r="D61" s="42" t="s">
        <v>451</v>
      </c>
      <c r="E61" s="46">
        <v>46001.22916666667</v>
      </c>
      <c r="F61" s="43" t="s">
        <v>555</v>
      </c>
      <c r="G61" s="42" t="s">
        <v>457</v>
      </c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2" t="s">
        <v>343</v>
      </c>
      <c r="B62" s="43" t="s">
        <v>556</v>
      </c>
      <c r="C62" s="42" t="s">
        <v>557</v>
      </c>
      <c r="D62" s="42" t="s">
        <v>451</v>
      </c>
      <c r="E62" s="46">
        <v>46001.22916666667</v>
      </c>
      <c r="F62" s="43" t="s">
        <v>558</v>
      </c>
      <c r="G62" s="42" t="s">
        <v>557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2" t="s">
        <v>342</v>
      </c>
      <c r="B63" s="43" t="s">
        <v>490</v>
      </c>
      <c r="C63" s="42" t="s">
        <v>557</v>
      </c>
      <c r="D63" s="42" t="s">
        <v>451</v>
      </c>
      <c r="E63" s="46">
        <v>46001.22916666667</v>
      </c>
      <c r="F63" s="43" t="s">
        <v>559</v>
      </c>
      <c r="G63" s="42" t="s">
        <v>557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2" t="s">
        <v>342</v>
      </c>
      <c r="B64" s="43" t="s">
        <v>556</v>
      </c>
      <c r="C64" s="42" t="s">
        <v>557</v>
      </c>
      <c r="D64" s="42" t="s">
        <v>451</v>
      </c>
      <c r="E64" s="46">
        <v>46001.22916666667</v>
      </c>
      <c r="F64" s="43" t="s">
        <v>560</v>
      </c>
      <c r="G64" s="42" t="s">
        <v>557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2" t="s">
        <v>336</v>
      </c>
      <c r="B65" s="43" t="s">
        <v>561</v>
      </c>
      <c r="C65" s="42" t="s">
        <v>457</v>
      </c>
      <c r="D65" s="42" t="s">
        <v>451</v>
      </c>
      <c r="E65" s="46">
        <v>46004.22916666667</v>
      </c>
      <c r="F65" s="43" t="s">
        <v>562</v>
      </c>
      <c r="G65" s="42" t="s">
        <v>459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2" t="s">
        <v>329</v>
      </c>
      <c r="B66" s="43" t="s">
        <v>563</v>
      </c>
      <c r="C66" s="42" t="s">
        <v>457</v>
      </c>
      <c r="D66" s="42" t="s">
        <v>451</v>
      </c>
      <c r="E66" s="46">
        <v>46064.22916666667</v>
      </c>
      <c r="F66" s="43" t="s">
        <v>564</v>
      </c>
      <c r="G66" s="42" t="s">
        <v>457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2" t="s">
        <v>329</v>
      </c>
      <c r="B67" s="43" t="s">
        <v>523</v>
      </c>
      <c r="C67" s="42" t="s">
        <v>457</v>
      </c>
      <c r="D67" s="42" t="s">
        <v>451</v>
      </c>
      <c r="E67" s="46">
        <v>45972.22916666667</v>
      </c>
      <c r="F67" s="43" t="s">
        <v>565</v>
      </c>
      <c r="G67" s="42" t="s">
        <v>457</v>
      </c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2" t="s">
        <v>329</v>
      </c>
      <c r="B68" s="43" t="s">
        <v>566</v>
      </c>
      <c r="C68" s="42" t="s">
        <v>457</v>
      </c>
      <c r="D68" s="42" t="s">
        <v>451</v>
      </c>
      <c r="E68" s="46">
        <v>45972.22916666667</v>
      </c>
      <c r="F68" s="43" t="s">
        <v>567</v>
      </c>
      <c r="G68" s="42" t="s">
        <v>457</v>
      </c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2" t="s">
        <v>328</v>
      </c>
      <c r="B69" s="43" t="s">
        <v>568</v>
      </c>
      <c r="C69" s="42" t="s">
        <v>459</v>
      </c>
      <c r="D69" s="42" t="s">
        <v>451</v>
      </c>
      <c r="E69" s="46">
        <v>46000.22916666667</v>
      </c>
      <c r="F69" s="43" t="s">
        <v>569</v>
      </c>
      <c r="G69" s="42" t="s">
        <v>459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2" t="s">
        <v>312</v>
      </c>
      <c r="B70" s="43" t="s">
        <v>570</v>
      </c>
      <c r="C70" s="42" t="s">
        <v>571</v>
      </c>
      <c r="D70" s="42" t="s">
        <v>451</v>
      </c>
      <c r="E70" s="46">
        <v>46001.22916666667</v>
      </c>
      <c r="F70" s="43" t="s">
        <v>572</v>
      </c>
      <c r="G70" s="42" t="s">
        <v>571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2" t="s">
        <v>307</v>
      </c>
      <c r="B71" s="43" t="s">
        <v>490</v>
      </c>
      <c r="C71" s="42" t="s">
        <v>457</v>
      </c>
      <c r="D71" s="42" t="s">
        <v>451</v>
      </c>
      <c r="E71" s="46">
        <v>45910.22916666667</v>
      </c>
      <c r="F71" s="43" t="s">
        <v>573</v>
      </c>
      <c r="G71" s="42" t="s">
        <v>457</v>
      </c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2" t="s">
        <v>307</v>
      </c>
      <c r="B72" s="43" t="s">
        <v>574</v>
      </c>
      <c r="C72" s="42" t="s">
        <v>575</v>
      </c>
      <c r="D72" s="42" t="s">
        <v>451</v>
      </c>
      <c r="E72" s="46">
        <v>45924.22916666667</v>
      </c>
      <c r="F72" s="43" t="s">
        <v>576</v>
      </c>
      <c r="G72" s="42" t="s">
        <v>575</v>
      </c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2" t="s">
        <v>202</v>
      </c>
      <c r="B73" s="43" t="s">
        <v>577</v>
      </c>
      <c r="C73" s="42" t="s">
        <v>453</v>
      </c>
      <c r="D73" s="42" t="s">
        <v>451</v>
      </c>
      <c r="E73" s="46">
        <v>46002.22916666667</v>
      </c>
      <c r="F73" s="43" t="s">
        <v>578</v>
      </c>
      <c r="G73" s="42" t="s">
        <v>453</v>
      </c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2" t="s">
        <v>338</v>
      </c>
      <c r="B74" s="43" t="s">
        <v>579</v>
      </c>
      <c r="C74" s="42" t="s">
        <v>474</v>
      </c>
      <c r="D74" s="42" t="s">
        <v>451</v>
      </c>
      <c r="E74" s="46">
        <v>46008.22916666667</v>
      </c>
      <c r="F74" s="43" t="s">
        <v>580</v>
      </c>
      <c r="G74" s="42" t="s">
        <v>459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2" t="s">
        <v>339</v>
      </c>
      <c r="B75" s="43" t="s">
        <v>561</v>
      </c>
      <c r="C75" s="42" t="s">
        <v>457</v>
      </c>
      <c r="D75" s="42" t="s">
        <v>451</v>
      </c>
      <c r="E75" s="46">
        <v>46004.22916666667</v>
      </c>
      <c r="F75" s="43" t="s">
        <v>581</v>
      </c>
      <c r="G75" s="42" t="s">
        <v>459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2" t="s">
        <v>307</v>
      </c>
      <c r="B76" s="43" t="s">
        <v>582</v>
      </c>
      <c r="C76" s="42" t="s">
        <v>457</v>
      </c>
      <c r="D76" s="42" t="s">
        <v>451</v>
      </c>
      <c r="E76" s="46">
        <v>46022.22916666667</v>
      </c>
      <c r="F76" s="43" t="s">
        <v>583</v>
      </c>
      <c r="G76" s="42" t="s">
        <v>497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2" t="s">
        <v>345</v>
      </c>
      <c r="B77" s="43" t="s">
        <v>490</v>
      </c>
      <c r="C77" s="42" t="s">
        <v>457</v>
      </c>
      <c r="D77" s="42" t="s">
        <v>451</v>
      </c>
      <c r="E77" s="46">
        <v>46003.22916666667</v>
      </c>
      <c r="F77" s="43" t="s">
        <v>584</v>
      </c>
      <c r="G77" s="42" t="s">
        <v>457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2" t="s">
        <v>270</v>
      </c>
      <c r="B78" s="43" t="s">
        <v>585</v>
      </c>
      <c r="C78" s="42" t="s">
        <v>474</v>
      </c>
      <c r="D78" s="42" t="s">
        <v>451</v>
      </c>
      <c r="E78" s="53">
        <v>46003.0</v>
      </c>
      <c r="F78" s="43" t="s">
        <v>586</v>
      </c>
      <c r="G78" s="42" t="s">
        <v>474</v>
      </c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2" t="s">
        <v>270</v>
      </c>
      <c r="B79" s="43" t="s">
        <v>587</v>
      </c>
      <c r="C79" s="42" t="s">
        <v>457</v>
      </c>
      <c r="D79" s="42" t="s">
        <v>451</v>
      </c>
      <c r="E79" s="53">
        <v>46030.22916666667</v>
      </c>
      <c r="F79" s="43" t="s">
        <v>588</v>
      </c>
      <c r="G79" s="42" t="s">
        <v>549</v>
      </c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2" t="s">
        <v>197</v>
      </c>
      <c r="B80" s="43" t="s">
        <v>587</v>
      </c>
      <c r="C80" s="42" t="s">
        <v>457</v>
      </c>
      <c r="D80" s="42" t="s">
        <v>451</v>
      </c>
      <c r="E80" s="53">
        <v>46030.22916666667</v>
      </c>
      <c r="F80" s="43" t="s">
        <v>589</v>
      </c>
      <c r="G80" s="42" t="s">
        <v>474</v>
      </c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2" t="s">
        <v>253</v>
      </c>
      <c r="B81" s="43" t="s">
        <v>590</v>
      </c>
      <c r="C81" s="42" t="s">
        <v>450</v>
      </c>
      <c r="D81" s="42" t="s">
        <v>451</v>
      </c>
      <c r="E81" s="53">
        <v>46073.22916666667</v>
      </c>
      <c r="F81" s="43" t="s">
        <v>591</v>
      </c>
      <c r="G81" s="42" t="s">
        <v>592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2" t="s">
        <v>253</v>
      </c>
      <c r="B82" s="43" t="s">
        <v>574</v>
      </c>
      <c r="C82" s="42" t="s">
        <v>459</v>
      </c>
      <c r="D82" s="42" t="s">
        <v>451</v>
      </c>
      <c r="E82" s="53">
        <v>45909.22916666667</v>
      </c>
      <c r="F82" s="43" t="s">
        <v>593</v>
      </c>
      <c r="G82" s="42" t="s">
        <v>459</v>
      </c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2" t="s">
        <v>253</v>
      </c>
      <c r="B83" s="43" t="s">
        <v>490</v>
      </c>
      <c r="C83" s="42" t="s">
        <v>457</v>
      </c>
      <c r="D83" s="42" t="s">
        <v>451</v>
      </c>
      <c r="E83" s="53">
        <v>45901.0</v>
      </c>
      <c r="F83" s="43" t="s">
        <v>594</v>
      </c>
      <c r="G83" s="42" t="s">
        <v>457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2" t="s">
        <v>209</v>
      </c>
      <c r="B84" s="43" t="s">
        <v>587</v>
      </c>
      <c r="C84" s="42" t="s">
        <v>595</v>
      </c>
      <c r="D84" s="42" t="s">
        <v>451</v>
      </c>
      <c r="E84" s="46">
        <v>46004.22916666667</v>
      </c>
      <c r="F84" s="43" t="s">
        <v>596</v>
      </c>
      <c r="G84" s="42" t="s">
        <v>497</v>
      </c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2" t="s">
        <v>345</v>
      </c>
      <c r="B85" s="43" t="s">
        <v>597</v>
      </c>
      <c r="C85" s="42" t="s">
        <v>453</v>
      </c>
      <c r="D85" s="42" t="s">
        <v>451</v>
      </c>
      <c r="E85" s="46">
        <v>46007.22916666667</v>
      </c>
      <c r="F85" s="43" t="s">
        <v>598</v>
      </c>
      <c r="G85" s="42" t="s">
        <v>453</v>
      </c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2" t="s">
        <v>312</v>
      </c>
      <c r="B86" s="43" t="s">
        <v>582</v>
      </c>
      <c r="C86" s="42" t="s">
        <v>474</v>
      </c>
      <c r="D86" s="42" t="s">
        <v>451</v>
      </c>
      <c r="E86" s="46">
        <v>46014.22916666667</v>
      </c>
      <c r="F86" s="43" t="s">
        <v>599</v>
      </c>
      <c r="G86" s="42" t="s">
        <v>497</v>
      </c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2" t="s">
        <v>328</v>
      </c>
      <c r="B87" s="43" t="s">
        <v>600</v>
      </c>
      <c r="C87" s="42" t="s">
        <v>457</v>
      </c>
      <c r="D87" s="42" t="s">
        <v>484</v>
      </c>
      <c r="E87" s="46">
        <v>46006.22916666667</v>
      </c>
      <c r="F87" s="49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2" t="s">
        <v>315</v>
      </c>
      <c r="B88" s="43" t="s">
        <v>601</v>
      </c>
      <c r="C88" s="42" t="s">
        <v>453</v>
      </c>
      <c r="D88" s="42" t="s">
        <v>451</v>
      </c>
      <c r="E88" s="46">
        <v>45988.22916666667</v>
      </c>
      <c r="F88" s="43" t="s">
        <v>602</v>
      </c>
      <c r="G88" s="42" t="s">
        <v>453</v>
      </c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2" t="s">
        <v>332</v>
      </c>
      <c r="B89" s="43" t="s">
        <v>603</v>
      </c>
      <c r="C89" s="42" t="s">
        <v>457</v>
      </c>
      <c r="D89" s="42" t="s">
        <v>451</v>
      </c>
      <c r="E89" s="46">
        <v>46173.22916666667</v>
      </c>
      <c r="F89" s="43" t="s">
        <v>604</v>
      </c>
      <c r="G89" s="42" t="s">
        <v>557</v>
      </c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2" t="s">
        <v>336</v>
      </c>
      <c r="B90" s="43" t="s">
        <v>605</v>
      </c>
      <c r="C90" s="42" t="s">
        <v>606</v>
      </c>
      <c r="D90" s="42" t="s">
        <v>451</v>
      </c>
      <c r="E90" s="46">
        <v>46006.22916666667</v>
      </c>
      <c r="F90" s="43" t="s">
        <v>607</v>
      </c>
      <c r="G90" s="42" t="s">
        <v>497</v>
      </c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2" t="s">
        <v>343</v>
      </c>
      <c r="B91" s="43" t="s">
        <v>608</v>
      </c>
      <c r="C91" s="42" t="s">
        <v>457</v>
      </c>
      <c r="D91" s="42" t="s">
        <v>451</v>
      </c>
      <c r="E91" s="46">
        <v>46035.22916666667</v>
      </c>
      <c r="F91" s="43" t="s">
        <v>609</v>
      </c>
      <c r="G91" s="42" t="s">
        <v>457</v>
      </c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2" t="s">
        <v>246</v>
      </c>
      <c r="B92" s="43" t="s">
        <v>490</v>
      </c>
      <c r="C92" s="42" t="s">
        <v>457</v>
      </c>
      <c r="D92" s="42" t="s">
        <v>451</v>
      </c>
      <c r="E92" s="46">
        <v>46006.22916666667</v>
      </c>
      <c r="F92" s="43" t="s">
        <v>610</v>
      </c>
      <c r="G92" s="42" t="s">
        <v>457</v>
      </c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2" t="s">
        <v>246</v>
      </c>
      <c r="B93" s="43" t="s">
        <v>561</v>
      </c>
      <c r="C93" s="42" t="s">
        <v>457</v>
      </c>
      <c r="D93" s="42" t="s">
        <v>484</v>
      </c>
      <c r="E93" s="46">
        <v>46009.22916666667</v>
      </c>
      <c r="F93" s="49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2" t="s">
        <v>345</v>
      </c>
      <c r="B94" s="43" t="s">
        <v>611</v>
      </c>
      <c r="C94" s="42" t="s">
        <v>450</v>
      </c>
      <c r="D94" s="42" t="s">
        <v>451</v>
      </c>
      <c r="E94" s="46">
        <v>46027.22916666667</v>
      </c>
      <c r="F94" s="43" t="s">
        <v>612</v>
      </c>
      <c r="G94" s="42" t="s">
        <v>450</v>
      </c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2" t="s">
        <v>345</v>
      </c>
      <c r="B95" s="43" t="s">
        <v>582</v>
      </c>
      <c r="C95" s="42" t="s">
        <v>571</v>
      </c>
      <c r="D95" s="42" t="s">
        <v>451</v>
      </c>
      <c r="E95" s="46">
        <v>46011.22916666667</v>
      </c>
      <c r="F95" s="43" t="s">
        <v>613</v>
      </c>
      <c r="G95" s="42" t="s">
        <v>571</v>
      </c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2" t="s">
        <v>349</v>
      </c>
      <c r="B96" s="43" t="s">
        <v>490</v>
      </c>
      <c r="C96" s="42" t="s">
        <v>457</v>
      </c>
      <c r="D96" s="42" t="s">
        <v>451</v>
      </c>
      <c r="E96" s="46">
        <v>46017.22916666667</v>
      </c>
      <c r="F96" s="43" t="s">
        <v>614</v>
      </c>
      <c r="G96" s="42" t="s">
        <v>457</v>
      </c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2" t="s">
        <v>351</v>
      </c>
      <c r="B97" s="43" t="s">
        <v>523</v>
      </c>
      <c r="C97" s="42" t="s">
        <v>457</v>
      </c>
      <c r="D97" s="42" t="s">
        <v>451</v>
      </c>
      <c r="E97" s="46">
        <v>46017.22916666667</v>
      </c>
      <c r="F97" s="43" t="s">
        <v>615</v>
      </c>
      <c r="G97" s="42" t="s">
        <v>457</v>
      </c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2" t="s">
        <v>355</v>
      </c>
      <c r="B98" s="43" t="s">
        <v>490</v>
      </c>
      <c r="C98" s="42" t="s">
        <v>457</v>
      </c>
      <c r="D98" s="42" t="s">
        <v>451</v>
      </c>
      <c r="E98" s="53">
        <v>46025.0</v>
      </c>
      <c r="F98" s="54" t="s">
        <v>616</v>
      </c>
      <c r="G98" s="42" t="s">
        <v>457</v>
      </c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2" t="s">
        <v>354</v>
      </c>
      <c r="B99" s="43" t="s">
        <v>490</v>
      </c>
      <c r="C99" s="42" t="s">
        <v>457</v>
      </c>
      <c r="D99" s="42" t="s">
        <v>451</v>
      </c>
      <c r="E99" s="53">
        <v>46025.0</v>
      </c>
      <c r="F99" s="54" t="s">
        <v>617</v>
      </c>
      <c r="G99" s="42" t="s">
        <v>457</v>
      </c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2" t="s">
        <v>618</v>
      </c>
      <c r="B100" s="43" t="s">
        <v>490</v>
      </c>
      <c r="C100" s="42" t="s">
        <v>457</v>
      </c>
      <c r="D100" s="42" t="s">
        <v>451</v>
      </c>
      <c r="E100" s="53">
        <v>46025.0</v>
      </c>
      <c r="F100" s="54" t="s">
        <v>619</v>
      </c>
      <c r="G100" s="42" t="s">
        <v>457</v>
      </c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2" t="s">
        <v>352</v>
      </c>
      <c r="B101" s="43" t="s">
        <v>490</v>
      </c>
      <c r="C101" s="42" t="s">
        <v>457</v>
      </c>
      <c r="D101" s="42" t="s">
        <v>451</v>
      </c>
      <c r="E101" s="53">
        <v>46024.22916666667</v>
      </c>
      <c r="F101" s="43" t="s">
        <v>620</v>
      </c>
      <c r="G101" s="42" t="s">
        <v>457</v>
      </c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2" t="s">
        <v>345</v>
      </c>
      <c r="B102" s="43" t="s">
        <v>621</v>
      </c>
      <c r="C102" s="42" t="s">
        <v>480</v>
      </c>
      <c r="D102" s="42" t="s">
        <v>451</v>
      </c>
      <c r="E102" s="46">
        <v>46017.22916666667</v>
      </c>
      <c r="F102" s="43" t="s">
        <v>622</v>
      </c>
      <c r="G102" s="42" t="s">
        <v>480</v>
      </c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2" t="s">
        <v>349</v>
      </c>
      <c r="B103" s="43" t="s">
        <v>623</v>
      </c>
      <c r="C103" s="42" t="s">
        <v>474</v>
      </c>
      <c r="D103" s="42" t="s">
        <v>451</v>
      </c>
      <c r="E103" s="46">
        <v>46025.22916666667</v>
      </c>
      <c r="F103" s="43" t="s">
        <v>624</v>
      </c>
      <c r="G103" s="42" t="s">
        <v>474</v>
      </c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2" t="s">
        <v>349</v>
      </c>
      <c r="B104" s="43" t="s">
        <v>582</v>
      </c>
      <c r="C104" s="42" t="s">
        <v>474</v>
      </c>
      <c r="D104" s="42" t="s">
        <v>451</v>
      </c>
      <c r="E104" s="46">
        <v>46025.22916666667</v>
      </c>
      <c r="F104" s="43" t="s">
        <v>625</v>
      </c>
      <c r="G104" s="42" t="s">
        <v>549</v>
      </c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2" t="s">
        <v>349</v>
      </c>
      <c r="B105" s="43" t="s">
        <v>626</v>
      </c>
      <c r="C105" s="42" t="s">
        <v>450</v>
      </c>
      <c r="D105" s="42" t="s">
        <v>451</v>
      </c>
      <c r="E105" s="46">
        <v>46035.22916666667</v>
      </c>
      <c r="F105" s="43" t="s">
        <v>627</v>
      </c>
      <c r="G105" s="42" t="s">
        <v>450</v>
      </c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2" t="s">
        <v>294</v>
      </c>
      <c r="B106" s="43" t="s">
        <v>490</v>
      </c>
      <c r="C106" s="42" t="s">
        <v>457</v>
      </c>
      <c r="D106" s="42" t="s">
        <v>451</v>
      </c>
      <c r="E106" s="46">
        <v>46028.22916666667</v>
      </c>
      <c r="F106" s="43" t="s">
        <v>628</v>
      </c>
      <c r="G106" s="42" t="s">
        <v>457</v>
      </c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2" t="s">
        <v>294</v>
      </c>
      <c r="B107" s="43" t="s">
        <v>597</v>
      </c>
      <c r="C107" s="42" t="s">
        <v>457</v>
      </c>
      <c r="D107" s="42" t="s">
        <v>451</v>
      </c>
      <c r="E107" s="46">
        <v>46029.22916666667</v>
      </c>
      <c r="F107" s="43" t="s">
        <v>629</v>
      </c>
      <c r="G107" s="42" t="s">
        <v>457</v>
      </c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2" t="s">
        <v>294</v>
      </c>
      <c r="B108" s="43" t="s">
        <v>570</v>
      </c>
      <c r="C108" s="42" t="s">
        <v>457</v>
      </c>
      <c r="D108" s="42" t="s">
        <v>451</v>
      </c>
      <c r="E108" s="46">
        <v>46031.22916666667</v>
      </c>
      <c r="F108" s="43" t="s">
        <v>630</v>
      </c>
      <c r="G108" s="42" t="s">
        <v>457</v>
      </c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2" t="s">
        <v>171</v>
      </c>
      <c r="B109" s="43" t="s">
        <v>631</v>
      </c>
      <c r="C109" s="42" t="s">
        <v>457</v>
      </c>
      <c r="D109" s="42" t="s">
        <v>484</v>
      </c>
      <c r="E109" s="46">
        <v>46078.22916666667</v>
      </c>
      <c r="F109" s="43" t="s">
        <v>632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2" t="s">
        <v>339</v>
      </c>
      <c r="B110" s="43" t="s">
        <v>473</v>
      </c>
      <c r="C110" s="42" t="s">
        <v>549</v>
      </c>
      <c r="D110" s="42" t="s">
        <v>451</v>
      </c>
      <c r="E110" s="46">
        <v>46036.22916666667</v>
      </c>
      <c r="F110" s="43" t="s">
        <v>633</v>
      </c>
      <c r="G110" s="42" t="s">
        <v>549</v>
      </c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2" t="s">
        <v>339</v>
      </c>
      <c r="B111" s="43" t="s">
        <v>509</v>
      </c>
      <c r="C111" s="42" t="s">
        <v>480</v>
      </c>
      <c r="D111" s="42" t="s">
        <v>451</v>
      </c>
      <c r="E111" s="46">
        <v>46057.22916666667</v>
      </c>
      <c r="F111" s="43" t="s">
        <v>634</v>
      </c>
      <c r="G111" s="42" t="s">
        <v>474</v>
      </c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2" t="s">
        <v>341</v>
      </c>
      <c r="B112" s="43" t="s">
        <v>635</v>
      </c>
      <c r="C112" s="42" t="s">
        <v>549</v>
      </c>
      <c r="D112" s="42" t="s">
        <v>451</v>
      </c>
      <c r="E112" s="46">
        <v>46035.22916666667</v>
      </c>
      <c r="F112" s="43" t="s">
        <v>636</v>
      </c>
      <c r="G112" s="42" t="s">
        <v>549</v>
      </c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2" t="s">
        <v>341</v>
      </c>
      <c r="B113" s="43" t="s">
        <v>582</v>
      </c>
      <c r="C113" s="42" t="s">
        <v>474</v>
      </c>
      <c r="D113" s="42" t="s">
        <v>451</v>
      </c>
      <c r="E113" s="46">
        <v>46043.22916666667</v>
      </c>
      <c r="F113" s="43" t="s">
        <v>637</v>
      </c>
      <c r="G113" s="42" t="s">
        <v>549</v>
      </c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2" t="s">
        <v>64</v>
      </c>
      <c r="B114" s="43" t="s">
        <v>638</v>
      </c>
      <c r="C114" s="42" t="s">
        <v>457</v>
      </c>
      <c r="D114" s="42" t="s">
        <v>484</v>
      </c>
      <c r="E114" s="46">
        <v>46041.22916666667</v>
      </c>
      <c r="F114" s="43" t="s">
        <v>639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2" t="s">
        <v>347</v>
      </c>
      <c r="B115" s="43" t="s">
        <v>597</v>
      </c>
      <c r="C115" s="42" t="s">
        <v>457</v>
      </c>
      <c r="D115" s="42" t="s">
        <v>451</v>
      </c>
      <c r="E115" s="44">
        <v>46029.22916666667</v>
      </c>
      <c r="F115" s="43" t="s">
        <v>640</v>
      </c>
      <c r="G115" s="42" t="s">
        <v>450</v>
      </c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2" t="s">
        <v>347</v>
      </c>
      <c r="B116" s="43" t="s">
        <v>603</v>
      </c>
      <c r="C116" s="42" t="s">
        <v>457</v>
      </c>
      <c r="D116" s="42" t="s">
        <v>451</v>
      </c>
      <c r="E116" s="46">
        <v>46092.22916666667</v>
      </c>
      <c r="F116" s="43" t="s">
        <v>641</v>
      </c>
      <c r="G116" s="42" t="s">
        <v>457</v>
      </c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2" t="s">
        <v>334</v>
      </c>
      <c r="B117" s="43" t="s">
        <v>561</v>
      </c>
      <c r="C117" s="42" t="s">
        <v>457</v>
      </c>
      <c r="D117" s="42" t="s">
        <v>451</v>
      </c>
      <c r="E117" s="46">
        <v>46050.22916666667</v>
      </c>
      <c r="F117" s="43" t="s">
        <v>642</v>
      </c>
      <c r="G117" s="42" t="s">
        <v>497</v>
      </c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2" t="s">
        <v>237</v>
      </c>
      <c r="B118" s="43" t="s">
        <v>476</v>
      </c>
      <c r="C118" s="42" t="s">
        <v>549</v>
      </c>
      <c r="D118" s="55" t="s">
        <v>451</v>
      </c>
      <c r="E118" s="46">
        <v>46036.22916666667</v>
      </c>
      <c r="F118" s="43" t="s">
        <v>643</v>
      </c>
      <c r="G118" s="42" t="s">
        <v>549</v>
      </c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2" t="s">
        <v>306</v>
      </c>
      <c r="B119" s="43" t="s">
        <v>490</v>
      </c>
      <c r="C119" s="42" t="s">
        <v>457</v>
      </c>
      <c r="D119" s="42" t="s">
        <v>451</v>
      </c>
      <c r="E119" s="46">
        <v>45962.22916666667</v>
      </c>
      <c r="F119" s="43" t="s">
        <v>644</v>
      </c>
      <c r="G119" s="42" t="s">
        <v>457</v>
      </c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2" t="s">
        <v>213</v>
      </c>
      <c r="B120" s="43" t="s">
        <v>645</v>
      </c>
      <c r="C120" s="42" t="s">
        <v>474</v>
      </c>
      <c r="D120" s="42" t="s">
        <v>451</v>
      </c>
      <c r="E120" s="46">
        <v>46044.22916666667</v>
      </c>
      <c r="F120" s="43" t="s">
        <v>646</v>
      </c>
      <c r="G120" s="42" t="s">
        <v>474</v>
      </c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2" t="s">
        <v>357</v>
      </c>
      <c r="B121" s="43" t="s">
        <v>490</v>
      </c>
      <c r="C121" s="42" t="s">
        <v>457</v>
      </c>
      <c r="D121" s="42" t="s">
        <v>451</v>
      </c>
      <c r="E121" s="46">
        <v>46047.22916666667</v>
      </c>
      <c r="F121" s="43" t="s">
        <v>647</v>
      </c>
      <c r="G121" s="42" t="s">
        <v>457</v>
      </c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2" t="s">
        <v>357</v>
      </c>
      <c r="B122" s="43" t="s">
        <v>648</v>
      </c>
      <c r="C122" s="42" t="s">
        <v>457</v>
      </c>
      <c r="D122" s="42" t="s">
        <v>451</v>
      </c>
      <c r="E122" s="46">
        <v>46046.22916666667</v>
      </c>
      <c r="F122" s="43" t="s">
        <v>649</v>
      </c>
      <c r="G122" s="42" t="s">
        <v>457</v>
      </c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2" t="s">
        <v>197</v>
      </c>
      <c r="B123" s="43" t="s">
        <v>650</v>
      </c>
      <c r="C123" s="42" t="s">
        <v>474</v>
      </c>
      <c r="D123" s="42" t="s">
        <v>451</v>
      </c>
      <c r="E123" s="46">
        <v>46049.22916666667</v>
      </c>
      <c r="F123" s="43" t="s">
        <v>651</v>
      </c>
      <c r="G123" s="42" t="s">
        <v>474</v>
      </c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2" t="s">
        <v>361</v>
      </c>
      <c r="B124" s="43" t="s">
        <v>490</v>
      </c>
      <c r="C124" s="42" t="s">
        <v>457</v>
      </c>
      <c r="D124" s="42" t="s">
        <v>451</v>
      </c>
      <c r="E124" s="46">
        <v>46042.22916666667</v>
      </c>
      <c r="F124" s="43" t="s">
        <v>652</v>
      </c>
      <c r="G124" s="42" t="s">
        <v>457</v>
      </c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2" t="s">
        <v>361</v>
      </c>
      <c r="B125" s="43" t="s">
        <v>570</v>
      </c>
      <c r="C125" s="42" t="s">
        <v>474</v>
      </c>
      <c r="D125" s="42" t="s">
        <v>451</v>
      </c>
      <c r="E125" s="46">
        <v>46044.22916666667</v>
      </c>
      <c r="F125" s="43" t="s">
        <v>653</v>
      </c>
      <c r="G125" s="42" t="s">
        <v>474</v>
      </c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2" t="s">
        <v>361</v>
      </c>
      <c r="B126" s="43" t="s">
        <v>582</v>
      </c>
      <c r="C126" s="42" t="s">
        <v>474</v>
      </c>
      <c r="D126" s="42" t="s">
        <v>451</v>
      </c>
      <c r="E126" s="46">
        <v>46045.22916666667</v>
      </c>
      <c r="F126" s="43" t="s">
        <v>654</v>
      </c>
      <c r="G126" s="42" t="s">
        <v>655</v>
      </c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2" t="s">
        <v>361</v>
      </c>
      <c r="B127" s="43" t="s">
        <v>656</v>
      </c>
      <c r="C127" s="42" t="s">
        <v>450</v>
      </c>
      <c r="D127" s="42" t="s">
        <v>451</v>
      </c>
      <c r="E127" s="46">
        <v>46051.22916666667</v>
      </c>
      <c r="F127" s="43" t="s">
        <v>657</v>
      </c>
      <c r="G127" s="42" t="s">
        <v>450</v>
      </c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2" t="s">
        <v>361</v>
      </c>
      <c r="B128" s="43" t="s">
        <v>658</v>
      </c>
      <c r="C128" s="42" t="s">
        <v>480</v>
      </c>
      <c r="D128" s="42" t="s">
        <v>451</v>
      </c>
      <c r="E128" s="46">
        <v>46057.22916666667</v>
      </c>
      <c r="F128" s="43" t="s">
        <v>659</v>
      </c>
      <c r="G128" s="42" t="s">
        <v>457</v>
      </c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2" t="s">
        <v>357</v>
      </c>
      <c r="B129" s="43" t="s">
        <v>660</v>
      </c>
      <c r="C129" s="42" t="s">
        <v>486</v>
      </c>
      <c r="D129" s="42" t="s">
        <v>451</v>
      </c>
      <c r="E129" s="46">
        <v>46098.22916666667</v>
      </c>
      <c r="F129" s="43" t="s">
        <v>661</v>
      </c>
      <c r="G129" s="42" t="s">
        <v>662</v>
      </c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2" t="s">
        <v>343</v>
      </c>
      <c r="B130" s="43" t="s">
        <v>570</v>
      </c>
      <c r="C130" s="42" t="s">
        <v>457</v>
      </c>
      <c r="D130" s="42" t="s">
        <v>451</v>
      </c>
      <c r="E130" s="46">
        <v>46037.22916666667</v>
      </c>
      <c r="F130" s="43" t="s">
        <v>663</v>
      </c>
      <c r="G130" s="42" t="s">
        <v>457</v>
      </c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2" t="s">
        <v>343</v>
      </c>
      <c r="B131" s="43" t="s">
        <v>664</v>
      </c>
      <c r="C131" s="42" t="s">
        <v>457</v>
      </c>
      <c r="D131" s="42" t="s">
        <v>451</v>
      </c>
      <c r="E131" s="46">
        <v>46050.22916666667</v>
      </c>
      <c r="F131" s="43" t="s">
        <v>665</v>
      </c>
      <c r="G131" s="42" t="s">
        <v>457</v>
      </c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2" t="s">
        <v>307</v>
      </c>
      <c r="B132" s="43" t="s">
        <v>666</v>
      </c>
      <c r="C132" s="42" t="s">
        <v>474</v>
      </c>
      <c r="D132" s="42" t="s">
        <v>451</v>
      </c>
      <c r="E132" s="46">
        <v>46049.22916666667</v>
      </c>
      <c r="F132" s="43" t="s">
        <v>667</v>
      </c>
      <c r="G132" s="42" t="s">
        <v>474</v>
      </c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2" t="s">
        <v>55</v>
      </c>
      <c r="B133" s="43" t="s">
        <v>668</v>
      </c>
      <c r="C133" s="42" t="s">
        <v>457</v>
      </c>
      <c r="D133" s="42" t="s">
        <v>451</v>
      </c>
      <c r="E133" s="46">
        <v>46150.22916666667</v>
      </c>
      <c r="F133" s="43" t="s">
        <v>669</v>
      </c>
      <c r="G133" s="42" t="s">
        <v>549</v>
      </c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2" t="s">
        <v>342</v>
      </c>
      <c r="B134" s="43" t="s">
        <v>582</v>
      </c>
      <c r="C134" s="42" t="s">
        <v>486</v>
      </c>
      <c r="D134" s="42" t="s">
        <v>484</v>
      </c>
      <c r="E134" s="46">
        <v>46051.22916666667</v>
      </c>
      <c r="F134" s="43" t="s">
        <v>670</v>
      </c>
      <c r="G134" s="42" t="s">
        <v>486</v>
      </c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2" t="s">
        <v>334</v>
      </c>
      <c r="B135" s="43" t="s">
        <v>570</v>
      </c>
      <c r="C135" s="42" t="s">
        <v>450</v>
      </c>
      <c r="D135" s="42" t="s">
        <v>451</v>
      </c>
      <c r="E135" s="46">
        <v>46052.22916666667</v>
      </c>
      <c r="F135" s="43" t="s">
        <v>671</v>
      </c>
      <c r="G135" s="42" t="s">
        <v>450</v>
      </c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2" t="s">
        <v>334</v>
      </c>
      <c r="B136" s="43" t="s">
        <v>603</v>
      </c>
      <c r="C136" s="42" t="s">
        <v>457</v>
      </c>
      <c r="D136" s="42" t="s">
        <v>484</v>
      </c>
      <c r="E136" s="46">
        <v>46058.22916666667</v>
      </c>
      <c r="F136" s="43" t="s">
        <v>672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2" t="s">
        <v>354</v>
      </c>
      <c r="B137" s="43" t="s">
        <v>561</v>
      </c>
      <c r="C137" s="42" t="s">
        <v>549</v>
      </c>
      <c r="D137" s="42" t="s">
        <v>451</v>
      </c>
      <c r="E137" s="46">
        <v>46050.22916666667</v>
      </c>
      <c r="F137" s="43" t="s">
        <v>673</v>
      </c>
      <c r="G137" s="42" t="s">
        <v>459</v>
      </c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2" t="s">
        <v>252</v>
      </c>
      <c r="B138" s="43" t="s">
        <v>490</v>
      </c>
      <c r="C138" s="42" t="s">
        <v>457</v>
      </c>
      <c r="D138" s="42" t="s">
        <v>451</v>
      </c>
      <c r="E138" s="46">
        <v>45824.22916666667</v>
      </c>
      <c r="F138" s="43" t="s">
        <v>674</v>
      </c>
      <c r="G138" s="42" t="s">
        <v>457</v>
      </c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2" t="s">
        <v>354</v>
      </c>
      <c r="B139" s="43" t="s">
        <v>675</v>
      </c>
      <c r="C139" s="42" t="s">
        <v>549</v>
      </c>
      <c r="D139" s="42" t="s">
        <v>451</v>
      </c>
      <c r="E139" s="46">
        <v>46053.22916666667</v>
      </c>
      <c r="F139" s="43" t="s">
        <v>676</v>
      </c>
      <c r="G139" s="42" t="s">
        <v>549</v>
      </c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2" t="s">
        <v>253</v>
      </c>
      <c r="B140" s="43" t="s">
        <v>677</v>
      </c>
      <c r="C140" s="42" t="s">
        <v>450</v>
      </c>
      <c r="D140" s="42" t="s">
        <v>451</v>
      </c>
      <c r="E140" s="46">
        <v>46055.22916666667</v>
      </c>
      <c r="F140" s="43" t="s">
        <v>678</v>
      </c>
      <c r="G140" s="42" t="s">
        <v>450</v>
      </c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2" t="s">
        <v>306</v>
      </c>
      <c r="B141" s="43" t="s">
        <v>679</v>
      </c>
      <c r="C141" s="42" t="s">
        <v>595</v>
      </c>
      <c r="D141" s="42" t="s">
        <v>451</v>
      </c>
      <c r="E141" s="46">
        <v>46055.22916666667</v>
      </c>
      <c r="F141" s="43" t="s">
        <v>680</v>
      </c>
      <c r="G141" s="42" t="s">
        <v>681</v>
      </c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2" t="s">
        <v>306</v>
      </c>
      <c r="B142" s="43" t="s">
        <v>682</v>
      </c>
      <c r="C142" s="42" t="s">
        <v>457</v>
      </c>
      <c r="D142" s="42" t="s">
        <v>484</v>
      </c>
      <c r="E142" s="46">
        <v>46063.22916666667</v>
      </c>
      <c r="F142" s="43" t="s">
        <v>683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2" t="s">
        <v>348</v>
      </c>
      <c r="B143" s="43" t="s">
        <v>490</v>
      </c>
      <c r="C143" s="42" t="s">
        <v>457</v>
      </c>
      <c r="D143" s="42" t="s">
        <v>451</v>
      </c>
      <c r="E143" s="46">
        <v>46056.22916666667</v>
      </c>
      <c r="F143" s="43" t="s">
        <v>684</v>
      </c>
      <c r="G143" s="42" t="s">
        <v>457</v>
      </c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2" t="s">
        <v>352</v>
      </c>
      <c r="B144" s="43" t="s">
        <v>570</v>
      </c>
      <c r="C144" s="42" t="s">
        <v>450</v>
      </c>
      <c r="D144" s="42" t="s">
        <v>451</v>
      </c>
      <c r="E144" s="46">
        <v>46063.22916666667</v>
      </c>
      <c r="F144" s="43" t="s">
        <v>685</v>
      </c>
      <c r="G144" s="42" t="s">
        <v>549</v>
      </c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2" t="s">
        <v>354</v>
      </c>
      <c r="B145" s="43" t="s">
        <v>582</v>
      </c>
      <c r="C145" s="42" t="s">
        <v>549</v>
      </c>
      <c r="D145" s="42" t="s">
        <v>484</v>
      </c>
      <c r="E145" s="46">
        <v>46057.22916666667</v>
      </c>
      <c r="F145" s="49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2" t="s">
        <v>348</v>
      </c>
      <c r="B146" s="43" t="s">
        <v>561</v>
      </c>
      <c r="C146" s="42" t="s">
        <v>450</v>
      </c>
      <c r="D146" s="42" t="s">
        <v>451</v>
      </c>
      <c r="E146" s="46">
        <v>46057.22916666667</v>
      </c>
      <c r="F146" s="43" t="s">
        <v>686</v>
      </c>
      <c r="G146" s="42" t="s">
        <v>450</v>
      </c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2" t="s">
        <v>364</v>
      </c>
      <c r="B147" s="43" t="s">
        <v>523</v>
      </c>
      <c r="C147" s="42" t="s">
        <v>557</v>
      </c>
      <c r="D147" s="42" t="s">
        <v>451</v>
      </c>
      <c r="E147" s="46">
        <v>46058.22916666667</v>
      </c>
      <c r="F147" s="43" t="s">
        <v>687</v>
      </c>
      <c r="G147" s="42" t="s">
        <v>557</v>
      </c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2" t="s">
        <v>349</v>
      </c>
      <c r="B148" s="43" t="s">
        <v>509</v>
      </c>
      <c r="C148" s="42" t="s">
        <v>480</v>
      </c>
      <c r="D148" s="42" t="s">
        <v>451</v>
      </c>
      <c r="E148" s="46">
        <v>46050.22916666667</v>
      </c>
      <c r="F148" s="43" t="s">
        <v>688</v>
      </c>
      <c r="G148" s="42" t="s">
        <v>474</v>
      </c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2" t="s">
        <v>60</v>
      </c>
      <c r="B149" s="43" t="s">
        <v>689</v>
      </c>
      <c r="C149" s="42" t="s">
        <v>457</v>
      </c>
      <c r="D149" s="42" t="s">
        <v>451</v>
      </c>
      <c r="E149" s="46">
        <v>46057.22916666667</v>
      </c>
      <c r="F149" s="43" t="s">
        <v>690</v>
      </c>
      <c r="G149" s="42" t="s">
        <v>457</v>
      </c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2" t="s">
        <v>348</v>
      </c>
      <c r="B150" s="43" t="s">
        <v>582</v>
      </c>
      <c r="C150" s="42" t="s">
        <v>457</v>
      </c>
      <c r="D150" s="42" t="s">
        <v>451</v>
      </c>
      <c r="E150" s="46">
        <v>46064.22916666667</v>
      </c>
      <c r="F150" s="43" t="s">
        <v>691</v>
      </c>
      <c r="G150" s="42" t="s">
        <v>450</v>
      </c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2" t="s">
        <v>171</v>
      </c>
      <c r="B151" s="43" t="s">
        <v>490</v>
      </c>
      <c r="C151" s="42" t="s">
        <v>457</v>
      </c>
      <c r="D151" s="42" t="s">
        <v>451</v>
      </c>
      <c r="E151" s="46">
        <v>45633.22916666667</v>
      </c>
      <c r="F151" s="43" t="s">
        <v>692</v>
      </c>
      <c r="G151" s="42" t="s">
        <v>457</v>
      </c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2" t="s">
        <v>369</v>
      </c>
      <c r="B152" s="43" t="s">
        <v>523</v>
      </c>
      <c r="C152" s="42" t="s">
        <v>557</v>
      </c>
      <c r="D152" s="42" t="s">
        <v>451</v>
      </c>
      <c r="E152" s="46">
        <v>46060.22916666667</v>
      </c>
      <c r="F152" s="43" t="s">
        <v>693</v>
      </c>
      <c r="G152" s="42" t="s">
        <v>457</v>
      </c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2" t="s">
        <v>368</v>
      </c>
      <c r="B153" s="43" t="s">
        <v>523</v>
      </c>
      <c r="C153" s="42" t="s">
        <v>557</v>
      </c>
      <c r="D153" s="42" t="s">
        <v>451</v>
      </c>
      <c r="E153" s="46">
        <v>46060.22916666667</v>
      </c>
      <c r="F153" s="43" t="s">
        <v>694</v>
      </c>
      <c r="G153" s="42" t="s">
        <v>457</v>
      </c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2" t="s">
        <v>367</v>
      </c>
      <c r="B154" s="43" t="s">
        <v>523</v>
      </c>
      <c r="C154" s="42" t="s">
        <v>557</v>
      </c>
      <c r="D154" s="42" t="s">
        <v>451</v>
      </c>
      <c r="E154" s="46">
        <v>46060.22916666667</v>
      </c>
      <c r="F154" s="43" t="s">
        <v>695</v>
      </c>
      <c r="G154" s="42" t="s">
        <v>457</v>
      </c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2" t="s">
        <v>366</v>
      </c>
      <c r="B155" s="43" t="s">
        <v>523</v>
      </c>
      <c r="C155" s="42" t="s">
        <v>457</v>
      </c>
      <c r="D155" s="42" t="s">
        <v>451</v>
      </c>
      <c r="E155" s="46">
        <v>46063.22916666667</v>
      </c>
      <c r="F155" s="43" t="s">
        <v>696</v>
      </c>
      <c r="G155" s="42" t="s">
        <v>457</v>
      </c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2" t="s">
        <v>317</v>
      </c>
      <c r="B156" s="43" t="s">
        <v>697</v>
      </c>
      <c r="C156" s="42" t="s">
        <v>480</v>
      </c>
      <c r="D156" s="42" t="s">
        <v>451</v>
      </c>
      <c r="E156" s="46">
        <v>46061.22916666667</v>
      </c>
      <c r="F156" s="43" t="s">
        <v>698</v>
      </c>
      <c r="G156" s="42" t="s">
        <v>474</v>
      </c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2" t="s">
        <v>364</v>
      </c>
      <c r="B157" s="43" t="s">
        <v>608</v>
      </c>
      <c r="C157" s="42" t="s">
        <v>457</v>
      </c>
      <c r="D157" s="42" t="s">
        <v>484</v>
      </c>
      <c r="E157" s="46">
        <v>46105.22916666667</v>
      </c>
      <c r="F157" s="43" t="s">
        <v>699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2" t="s">
        <v>352</v>
      </c>
      <c r="B158" s="43" t="s">
        <v>582</v>
      </c>
      <c r="C158" s="42" t="s">
        <v>549</v>
      </c>
      <c r="D158" s="42" t="s">
        <v>451</v>
      </c>
      <c r="E158" s="46">
        <v>46063.22916666667</v>
      </c>
      <c r="F158" s="43" t="s">
        <v>700</v>
      </c>
      <c r="G158" s="42" t="s">
        <v>549</v>
      </c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2" t="s">
        <v>352</v>
      </c>
      <c r="B159" s="43" t="s">
        <v>577</v>
      </c>
      <c r="C159" s="42" t="s">
        <v>457</v>
      </c>
      <c r="D159" s="42" t="s">
        <v>451</v>
      </c>
      <c r="E159" s="46">
        <v>46158.22916666667</v>
      </c>
      <c r="F159" s="43" t="s">
        <v>701</v>
      </c>
      <c r="G159" s="42" t="s">
        <v>486</v>
      </c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2" t="s">
        <v>281</v>
      </c>
      <c r="B160" s="43" t="s">
        <v>702</v>
      </c>
      <c r="C160" s="42" t="s">
        <v>549</v>
      </c>
      <c r="D160" s="42" t="s">
        <v>484</v>
      </c>
      <c r="E160" s="46">
        <v>46066.22916666667</v>
      </c>
      <c r="F160" s="43" t="s">
        <v>703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2" t="s">
        <v>369</v>
      </c>
      <c r="B161" s="43" t="s">
        <v>704</v>
      </c>
      <c r="C161" s="42" t="s">
        <v>459</v>
      </c>
      <c r="D161" s="42" t="s">
        <v>451</v>
      </c>
      <c r="E161" s="46">
        <v>46067.22916666667</v>
      </c>
      <c r="F161" s="43" t="s">
        <v>705</v>
      </c>
      <c r="G161" s="42" t="s">
        <v>459</v>
      </c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2" t="s">
        <v>369</v>
      </c>
      <c r="B162" s="43" t="s">
        <v>706</v>
      </c>
      <c r="C162" s="42" t="s">
        <v>450</v>
      </c>
      <c r="D162" s="42" t="s">
        <v>451</v>
      </c>
      <c r="E162" s="46">
        <v>46070.22916666667</v>
      </c>
      <c r="F162" s="43" t="s">
        <v>707</v>
      </c>
      <c r="G162" s="42" t="s">
        <v>450</v>
      </c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2" t="s">
        <v>367</v>
      </c>
      <c r="B163" s="43" t="s">
        <v>704</v>
      </c>
      <c r="C163" s="42" t="s">
        <v>474</v>
      </c>
      <c r="D163" s="42" t="s">
        <v>451</v>
      </c>
      <c r="E163" s="46">
        <v>46069.22916666667</v>
      </c>
      <c r="F163" s="43" t="s">
        <v>708</v>
      </c>
      <c r="G163" s="42" t="s">
        <v>474</v>
      </c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2" t="s">
        <v>368</v>
      </c>
      <c r="B164" s="43" t="s">
        <v>704</v>
      </c>
      <c r="C164" s="42" t="s">
        <v>474</v>
      </c>
      <c r="D164" s="42" t="s">
        <v>451</v>
      </c>
      <c r="E164" s="46">
        <v>46069.22916666667</v>
      </c>
      <c r="F164" s="43" t="s">
        <v>709</v>
      </c>
      <c r="G164" s="42" t="s">
        <v>474</v>
      </c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2" t="s">
        <v>362</v>
      </c>
      <c r="B165" s="43" t="s">
        <v>523</v>
      </c>
      <c r="C165" s="42" t="s">
        <v>457</v>
      </c>
      <c r="D165" s="42" t="s">
        <v>451</v>
      </c>
      <c r="E165" s="46">
        <v>46067.22916666667</v>
      </c>
      <c r="F165" s="43" t="s">
        <v>710</v>
      </c>
      <c r="G165" s="42" t="s">
        <v>457</v>
      </c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2" t="s">
        <v>362</v>
      </c>
      <c r="B166" s="43" t="s">
        <v>570</v>
      </c>
      <c r="C166" s="42" t="s">
        <v>457</v>
      </c>
      <c r="D166" s="42" t="s">
        <v>484</v>
      </c>
      <c r="E166" s="46">
        <v>46086.22916666667</v>
      </c>
      <c r="F166" s="43" t="s">
        <v>711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2" t="s">
        <v>371</v>
      </c>
      <c r="B167" s="43" t="s">
        <v>523</v>
      </c>
      <c r="C167" s="42" t="s">
        <v>557</v>
      </c>
      <c r="D167" s="42" t="s">
        <v>451</v>
      </c>
      <c r="E167" s="46">
        <v>46072.22916666667</v>
      </c>
      <c r="F167" s="43" t="s">
        <v>712</v>
      </c>
      <c r="G167" s="42" t="s">
        <v>557</v>
      </c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2" t="s">
        <v>371</v>
      </c>
      <c r="B168" s="43" t="s">
        <v>713</v>
      </c>
      <c r="C168" s="42" t="s">
        <v>457</v>
      </c>
      <c r="D168" s="42" t="s">
        <v>451</v>
      </c>
      <c r="E168" s="46">
        <v>46080.22916666667</v>
      </c>
      <c r="F168" s="43" t="s">
        <v>714</v>
      </c>
      <c r="G168" s="42" t="s">
        <v>715</v>
      </c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2" t="s">
        <v>369</v>
      </c>
      <c r="B169" s="43" t="s">
        <v>716</v>
      </c>
      <c r="C169" s="42" t="s">
        <v>459</v>
      </c>
      <c r="D169" s="42" t="s">
        <v>451</v>
      </c>
      <c r="E169" s="46">
        <v>46077.22916666667</v>
      </c>
      <c r="F169" s="43" t="s">
        <v>717</v>
      </c>
      <c r="G169" s="42" t="s">
        <v>718</v>
      </c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2" t="s">
        <v>370</v>
      </c>
      <c r="B170" s="43" t="s">
        <v>490</v>
      </c>
      <c r="C170" s="42" t="s">
        <v>457</v>
      </c>
      <c r="D170" s="42" t="s">
        <v>451</v>
      </c>
      <c r="E170" s="46">
        <v>46077.22916666667</v>
      </c>
      <c r="F170" s="43" t="s">
        <v>719</v>
      </c>
      <c r="G170" s="42" t="s">
        <v>457</v>
      </c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2" t="s">
        <v>366</v>
      </c>
      <c r="B171" s="43" t="s">
        <v>713</v>
      </c>
      <c r="C171" s="42" t="s">
        <v>457</v>
      </c>
      <c r="D171" s="42" t="s">
        <v>451</v>
      </c>
      <c r="E171" s="46">
        <v>46083.22916666667</v>
      </c>
      <c r="F171" s="43" t="s">
        <v>720</v>
      </c>
      <c r="G171" s="42" t="s">
        <v>715</v>
      </c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2" t="s">
        <v>370</v>
      </c>
      <c r="B172" s="43" t="s">
        <v>561</v>
      </c>
      <c r="C172" s="42" t="s">
        <v>457</v>
      </c>
      <c r="D172" s="42" t="s">
        <v>451</v>
      </c>
      <c r="E172" s="46">
        <v>46087.22916666667</v>
      </c>
      <c r="F172" s="43" t="s">
        <v>721</v>
      </c>
      <c r="G172" s="42" t="s">
        <v>457</v>
      </c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2" t="s">
        <v>371</v>
      </c>
      <c r="B173" s="43" t="s">
        <v>716</v>
      </c>
      <c r="C173" s="42" t="s">
        <v>549</v>
      </c>
      <c r="D173" s="42" t="s">
        <v>451</v>
      </c>
      <c r="E173" s="44">
        <v>46083.22916666667</v>
      </c>
      <c r="F173" s="43" t="s">
        <v>722</v>
      </c>
      <c r="G173" s="42" t="s">
        <v>723</v>
      </c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2" t="s">
        <v>372</v>
      </c>
      <c r="B174" s="43" t="s">
        <v>490</v>
      </c>
      <c r="C174" s="42" t="s">
        <v>557</v>
      </c>
      <c r="D174" s="42" t="s">
        <v>451</v>
      </c>
      <c r="E174" s="46">
        <v>46081.22916666667</v>
      </c>
      <c r="F174" s="43" t="s">
        <v>724</v>
      </c>
      <c r="G174" s="42" t="s">
        <v>557</v>
      </c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2" t="s">
        <v>372</v>
      </c>
      <c r="B175" s="43" t="s">
        <v>561</v>
      </c>
      <c r="C175" s="42" t="s">
        <v>457</v>
      </c>
      <c r="D175" s="42" t="s">
        <v>451</v>
      </c>
      <c r="E175" s="46">
        <v>46091.22916666667</v>
      </c>
      <c r="F175" s="43" t="s">
        <v>725</v>
      </c>
      <c r="G175" s="42" t="s">
        <v>459</v>
      </c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2" t="s">
        <v>374</v>
      </c>
      <c r="B176" s="43" t="s">
        <v>523</v>
      </c>
      <c r="C176" s="42" t="s">
        <v>557</v>
      </c>
      <c r="D176" s="42" t="s">
        <v>451</v>
      </c>
      <c r="E176" s="46">
        <v>46084.22916666667</v>
      </c>
      <c r="F176" s="43" t="s">
        <v>726</v>
      </c>
      <c r="G176" s="42" t="s">
        <v>557</v>
      </c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2" t="s">
        <v>376</v>
      </c>
      <c r="B177" s="43" t="s">
        <v>523</v>
      </c>
      <c r="C177" s="42" t="s">
        <v>557</v>
      </c>
      <c r="D177" s="42" t="s">
        <v>451</v>
      </c>
      <c r="E177" s="46">
        <v>46085.22916666667</v>
      </c>
      <c r="F177" s="43" t="s">
        <v>727</v>
      </c>
      <c r="G177" s="42" t="s">
        <v>557</v>
      </c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2" t="s">
        <v>366</v>
      </c>
      <c r="B178" s="43" t="s">
        <v>473</v>
      </c>
      <c r="C178" s="42" t="s">
        <v>728</v>
      </c>
      <c r="D178" s="42" t="s">
        <v>451</v>
      </c>
      <c r="E178" s="46">
        <v>46084.22916666667</v>
      </c>
      <c r="F178" s="43" t="s">
        <v>729</v>
      </c>
      <c r="G178" s="42" t="s">
        <v>715</v>
      </c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2" t="s">
        <v>376</v>
      </c>
      <c r="B179" s="43" t="s">
        <v>570</v>
      </c>
      <c r="C179" s="42" t="s">
        <v>457</v>
      </c>
      <c r="D179" s="42" t="s">
        <v>451</v>
      </c>
      <c r="E179" s="46">
        <v>46087.22916666667</v>
      </c>
      <c r="F179" s="43" t="s">
        <v>730</v>
      </c>
      <c r="G179" s="42" t="s">
        <v>457</v>
      </c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2" t="s">
        <v>351</v>
      </c>
      <c r="B180" s="43" t="s">
        <v>731</v>
      </c>
      <c r="C180" s="42" t="s">
        <v>457</v>
      </c>
      <c r="D180" s="42" t="s">
        <v>451</v>
      </c>
      <c r="E180" s="46">
        <v>46031.22916666667</v>
      </c>
      <c r="F180" s="43" t="s">
        <v>732</v>
      </c>
      <c r="G180" s="42" t="s">
        <v>457</v>
      </c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2" t="s">
        <v>380</v>
      </c>
      <c r="B181" s="43" t="s">
        <v>490</v>
      </c>
      <c r="C181" s="42" t="s">
        <v>557</v>
      </c>
      <c r="D181" s="42" t="s">
        <v>451</v>
      </c>
      <c r="E181" s="46">
        <v>46090.22916666667</v>
      </c>
      <c r="F181" s="43" t="s">
        <v>733</v>
      </c>
      <c r="G181" s="42" t="s">
        <v>557</v>
      </c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2" t="s">
        <v>382</v>
      </c>
      <c r="B182" s="43" t="s">
        <v>490</v>
      </c>
      <c r="C182" s="42" t="s">
        <v>557</v>
      </c>
      <c r="D182" s="42" t="s">
        <v>451</v>
      </c>
      <c r="E182" s="46">
        <v>46091.22916666667</v>
      </c>
      <c r="F182" s="43" t="s">
        <v>734</v>
      </c>
      <c r="G182" s="42" t="s">
        <v>557</v>
      </c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2" t="s">
        <v>302</v>
      </c>
      <c r="B183" s="43" t="s">
        <v>587</v>
      </c>
      <c r="C183" s="42" t="s">
        <v>474</v>
      </c>
      <c r="D183" s="42" t="s">
        <v>451</v>
      </c>
      <c r="E183" s="46">
        <v>46091.22916666667</v>
      </c>
      <c r="F183" s="43" t="s">
        <v>735</v>
      </c>
      <c r="G183" s="42" t="s">
        <v>474</v>
      </c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2" t="s">
        <v>369</v>
      </c>
      <c r="B184" s="43" t="s">
        <v>736</v>
      </c>
      <c r="C184" s="42" t="s">
        <v>474</v>
      </c>
      <c r="D184" s="42" t="s">
        <v>451</v>
      </c>
      <c r="E184" s="46">
        <v>46092.22916666667</v>
      </c>
      <c r="F184" s="43" t="s">
        <v>737</v>
      </c>
      <c r="G184" s="42" t="s">
        <v>474</v>
      </c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2" t="s">
        <v>384</v>
      </c>
      <c r="B185" s="43" t="s">
        <v>490</v>
      </c>
      <c r="C185" s="42" t="s">
        <v>557</v>
      </c>
      <c r="D185" s="42" t="s">
        <v>451</v>
      </c>
      <c r="E185" s="46">
        <v>46095.22916666667</v>
      </c>
      <c r="F185" s="43" t="s">
        <v>738</v>
      </c>
      <c r="G185" s="42" t="s">
        <v>557</v>
      </c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2" t="s">
        <v>361</v>
      </c>
      <c r="B186" s="43" t="s">
        <v>739</v>
      </c>
      <c r="C186" s="42" t="s">
        <v>486</v>
      </c>
      <c r="D186" s="42" t="s">
        <v>451</v>
      </c>
      <c r="E186" s="46">
        <v>46095.22916666667</v>
      </c>
      <c r="F186" s="43" t="s">
        <v>740</v>
      </c>
      <c r="G186" s="42" t="s">
        <v>486</v>
      </c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2" t="s">
        <v>382</v>
      </c>
      <c r="B187" s="43" t="s">
        <v>704</v>
      </c>
      <c r="C187" s="42" t="s">
        <v>457</v>
      </c>
      <c r="D187" s="42" t="s">
        <v>451</v>
      </c>
      <c r="E187" s="46">
        <v>46098.22916666667</v>
      </c>
      <c r="F187" s="43" t="s">
        <v>741</v>
      </c>
      <c r="G187" s="42" t="s">
        <v>457</v>
      </c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2" t="s">
        <v>382</v>
      </c>
      <c r="B188" s="43" t="s">
        <v>716</v>
      </c>
      <c r="C188" s="42" t="s">
        <v>742</v>
      </c>
      <c r="D188" s="42" t="s">
        <v>451</v>
      </c>
      <c r="E188" s="46">
        <v>46098.22916666667</v>
      </c>
      <c r="F188" s="43" t="s">
        <v>743</v>
      </c>
      <c r="G188" s="42" t="s">
        <v>744</v>
      </c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2" t="s">
        <v>251</v>
      </c>
      <c r="B189" s="43" t="s">
        <v>523</v>
      </c>
      <c r="C189" s="42" t="s">
        <v>457</v>
      </c>
      <c r="D189" s="42" t="s">
        <v>451</v>
      </c>
      <c r="E189" s="46">
        <v>45807.22916666667</v>
      </c>
      <c r="F189" s="43" t="s">
        <v>745</v>
      </c>
      <c r="G189" s="42" t="s">
        <v>457</v>
      </c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2" t="s">
        <v>386</v>
      </c>
      <c r="B190" s="43" t="s">
        <v>523</v>
      </c>
      <c r="C190" s="42" t="s">
        <v>557</v>
      </c>
      <c r="D190" s="42" t="s">
        <v>451</v>
      </c>
      <c r="E190" s="46">
        <v>46099.22916666667</v>
      </c>
      <c r="F190" s="43" t="s">
        <v>746</v>
      </c>
      <c r="G190" s="42" t="s">
        <v>557</v>
      </c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2" t="s">
        <v>385</v>
      </c>
      <c r="B191" s="43" t="s">
        <v>523</v>
      </c>
      <c r="C191" s="42" t="s">
        <v>557</v>
      </c>
      <c r="D191" s="42" t="s">
        <v>451</v>
      </c>
      <c r="E191" s="46">
        <v>46099.22916666667</v>
      </c>
      <c r="F191" s="43" t="s">
        <v>747</v>
      </c>
      <c r="G191" s="42" t="s">
        <v>557</v>
      </c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2" t="s">
        <v>377</v>
      </c>
      <c r="B192" s="43" t="s">
        <v>608</v>
      </c>
      <c r="C192" s="42" t="s">
        <v>457</v>
      </c>
      <c r="D192" s="42" t="s">
        <v>451</v>
      </c>
      <c r="E192" s="46">
        <v>46104.22916666667</v>
      </c>
      <c r="F192" s="43" t="s">
        <v>748</v>
      </c>
      <c r="G192" s="42" t="s">
        <v>457</v>
      </c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2" t="s">
        <v>749</v>
      </c>
      <c r="B193" s="43" t="s">
        <v>704</v>
      </c>
      <c r="C193" s="42" t="s">
        <v>457</v>
      </c>
      <c r="D193" s="42" t="s">
        <v>451</v>
      </c>
      <c r="E193" s="46">
        <v>46100.22916666667</v>
      </c>
      <c r="F193" s="43" t="s">
        <v>750</v>
      </c>
      <c r="G193" s="42" t="s">
        <v>457</v>
      </c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2" t="s">
        <v>388</v>
      </c>
      <c r="B194" s="43" t="s">
        <v>751</v>
      </c>
      <c r="C194" s="42" t="s">
        <v>457</v>
      </c>
      <c r="D194" s="42" t="s">
        <v>451</v>
      </c>
      <c r="E194" s="46">
        <v>46098.22916666667</v>
      </c>
      <c r="F194" s="43" t="s">
        <v>752</v>
      </c>
      <c r="G194" s="42" t="s">
        <v>457</v>
      </c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2" t="s">
        <v>49</v>
      </c>
      <c r="B195" s="43" t="s">
        <v>753</v>
      </c>
      <c r="C195" s="42" t="s">
        <v>457</v>
      </c>
      <c r="D195" s="42" t="s">
        <v>451</v>
      </c>
      <c r="E195" s="46">
        <v>46100.22916666667</v>
      </c>
      <c r="F195" s="43" t="s">
        <v>754</v>
      </c>
      <c r="G195" s="42" t="s">
        <v>457</v>
      </c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2" t="s">
        <v>388</v>
      </c>
      <c r="B196" s="43" t="s">
        <v>608</v>
      </c>
      <c r="C196" s="42" t="s">
        <v>457</v>
      </c>
      <c r="D196" s="42" t="s">
        <v>451</v>
      </c>
      <c r="E196" s="46">
        <v>46102.22916666667</v>
      </c>
      <c r="F196" s="43" t="s">
        <v>755</v>
      </c>
      <c r="G196" s="42" t="s">
        <v>457</v>
      </c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2" t="s">
        <v>372</v>
      </c>
      <c r="B197" s="43" t="s">
        <v>756</v>
      </c>
      <c r="C197" s="42" t="s">
        <v>486</v>
      </c>
      <c r="D197" s="42" t="s">
        <v>451</v>
      </c>
      <c r="E197" s="46">
        <v>46101.22916666667</v>
      </c>
      <c r="F197" s="43" t="s">
        <v>757</v>
      </c>
      <c r="G197" s="42" t="s">
        <v>486</v>
      </c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2" t="s">
        <v>372</v>
      </c>
      <c r="B198" s="43" t="s">
        <v>626</v>
      </c>
      <c r="C198" s="42" t="s">
        <v>450</v>
      </c>
      <c r="D198" s="42" t="s">
        <v>451</v>
      </c>
      <c r="E198" s="46">
        <v>46104.22916666667</v>
      </c>
      <c r="F198" s="43" t="s">
        <v>758</v>
      </c>
      <c r="G198" s="42" t="s">
        <v>450</v>
      </c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2" t="s">
        <v>749</v>
      </c>
      <c r="B199" s="43" t="s">
        <v>759</v>
      </c>
      <c r="C199" s="42" t="s">
        <v>450</v>
      </c>
      <c r="D199" s="42" t="s">
        <v>451</v>
      </c>
      <c r="E199" s="46">
        <v>46102.22916666667</v>
      </c>
      <c r="F199" s="43" t="s">
        <v>760</v>
      </c>
      <c r="G199" s="42" t="s">
        <v>450</v>
      </c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2" t="s">
        <v>749</v>
      </c>
      <c r="B200" s="43" t="s">
        <v>716</v>
      </c>
      <c r="C200" s="42" t="s">
        <v>742</v>
      </c>
      <c r="D200" s="42" t="s">
        <v>451</v>
      </c>
      <c r="E200" s="46">
        <v>46102.22916666667</v>
      </c>
      <c r="F200" s="43" t="s">
        <v>761</v>
      </c>
      <c r="G200" s="42" t="s">
        <v>762</v>
      </c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2" t="s">
        <v>329</v>
      </c>
      <c r="B201" s="43" t="s">
        <v>716</v>
      </c>
      <c r="C201" s="42" t="s">
        <v>474</v>
      </c>
      <c r="D201" s="42" t="s">
        <v>451</v>
      </c>
      <c r="E201" s="46">
        <v>46083.22916666667</v>
      </c>
      <c r="F201" s="43" t="s">
        <v>763</v>
      </c>
      <c r="G201" s="42" t="s">
        <v>762</v>
      </c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2" t="s">
        <v>341</v>
      </c>
      <c r="B202" s="43" t="s">
        <v>764</v>
      </c>
      <c r="C202" s="42" t="s">
        <v>457</v>
      </c>
      <c r="D202" s="42" t="s">
        <v>451</v>
      </c>
      <c r="E202" s="46">
        <v>46102.22916666667</v>
      </c>
      <c r="F202" s="43" t="s">
        <v>765</v>
      </c>
      <c r="G202" s="42" t="s">
        <v>457</v>
      </c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2" t="s">
        <v>386</v>
      </c>
      <c r="B203" s="43" t="s">
        <v>495</v>
      </c>
      <c r="C203" s="42" t="s">
        <v>474</v>
      </c>
      <c r="D203" s="42" t="s">
        <v>451</v>
      </c>
      <c r="E203" s="46">
        <v>46137.22916666667</v>
      </c>
      <c r="F203" s="43" t="s">
        <v>766</v>
      </c>
      <c r="G203" s="42" t="s">
        <v>474</v>
      </c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2" t="s">
        <v>374</v>
      </c>
      <c r="B204" s="43" t="s">
        <v>767</v>
      </c>
      <c r="C204" s="42" t="s">
        <v>457</v>
      </c>
      <c r="D204" s="42" t="s">
        <v>451</v>
      </c>
      <c r="E204" s="46">
        <v>46135.22916666667</v>
      </c>
      <c r="F204" s="43" t="s">
        <v>768</v>
      </c>
      <c r="G204" s="42" t="s">
        <v>457</v>
      </c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2" t="s">
        <v>285</v>
      </c>
      <c r="B205" s="43" t="s">
        <v>464</v>
      </c>
      <c r="C205" s="42" t="s">
        <v>457</v>
      </c>
      <c r="D205" s="42" t="s">
        <v>484</v>
      </c>
      <c r="E205" s="46">
        <v>46183.22916666667</v>
      </c>
      <c r="F205" s="43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2" t="s">
        <v>336</v>
      </c>
      <c r="B206" s="43" t="s">
        <v>582</v>
      </c>
      <c r="C206" s="42" t="s">
        <v>474</v>
      </c>
      <c r="D206" s="42" t="s">
        <v>484</v>
      </c>
      <c r="E206" s="46">
        <v>46139.22916666667</v>
      </c>
      <c r="F206" s="43" t="s">
        <v>769</v>
      </c>
      <c r="G206" s="42" t="s">
        <v>762</v>
      </c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2" t="s">
        <v>394</v>
      </c>
      <c r="B207" s="43" t="s">
        <v>523</v>
      </c>
      <c r="C207" s="42" t="s">
        <v>474</v>
      </c>
      <c r="D207" s="42" t="s">
        <v>451</v>
      </c>
      <c r="E207" s="46">
        <v>46137.22916666667</v>
      </c>
      <c r="F207" s="43" t="s">
        <v>770</v>
      </c>
      <c r="G207" s="42" t="s">
        <v>457</v>
      </c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2" t="s">
        <v>394</v>
      </c>
      <c r="B208" s="43" t="s">
        <v>771</v>
      </c>
      <c r="C208" s="42" t="s">
        <v>474</v>
      </c>
      <c r="D208" s="42" t="s">
        <v>484</v>
      </c>
      <c r="E208" s="46">
        <v>46140.22916666667</v>
      </c>
      <c r="F208" s="43" t="s">
        <v>772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2" t="s">
        <v>403</v>
      </c>
      <c r="B209" s="43" t="s">
        <v>523</v>
      </c>
      <c r="C209" s="42" t="s">
        <v>457</v>
      </c>
      <c r="D209" s="42" t="s">
        <v>451</v>
      </c>
      <c r="E209" s="46">
        <v>46139.22916666667</v>
      </c>
      <c r="F209" s="43" t="s">
        <v>773</v>
      </c>
      <c r="G209" s="42" t="s">
        <v>457</v>
      </c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2" t="s">
        <v>401</v>
      </c>
      <c r="B210" s="43" t="s">
        <v>774</v>
      </c>
      <c r="C210" s="42" t="s">
        <v>486</v>
      </c>
      <c r="D210" s="42" t="s">
        <v>451</v>
      </c>
      <c r="E210" s="46">
        <v>46139.22916666667</v>
      </c>
      <c r="F210" s="43" t="s">
        <v>775</v>
      </c>
      <c r="G210" s="42" t="s">
        <v>486</v>
      </c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2" t="s">
        <v>403</v>
      </c>
      <c r="B211" s="43" t="s">
        <v>774</v>
      </c>
      <c r="C211" s="42" t="s">
        <v>486</v>
      </c>
      <c r="D211" s="42" t="s">
        <v>451</v>
      </c>
      <c r="E211" s="46">
        <v>46139.22916666667</v>
      </c>
      <c r="F211" s="43" t="s">
        <v>776</v>
      </c>
      <c r="G211" s="42" t="s">
        <v>486</v>
      </c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2" t="s">
        <v>401</v>
      </c>
      <c r="B212" s="43" t="s">
        <v>561</v>
      </c>
      <c r="C212" s="42" t="s">
        <v>777</v>
      </c>
      <c r="D212" s="42" t="s">
        <v>451</v>
      </c>
      <c r="E212" s="46">
        <v>46148.22916666667</v>
      </c>
      <c r="F212" s="43" t="s">
        <v>778</v>
      </c>
      <c r="G212" s="42" t="s">
        <v>777</v>
      </c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2" t="s">
        <v>407</v>
      </c>
      <c r="B213" s="43" t="s">
        <v>779</v>
      </c>
      <c r="C213" s="42" t="s">
        <v>457</v>
      </c>
      <c r="D213" s="42" t="s">
        <v>451</v>
      </c>
      <c r="E213" s="46">
        <v>46144.22916666667</v>
      </c>
      <c r="F213" s="43" t="s">
        <v>780</v>
      </c>
      <c r="G213" s="42" t="s">
        <v>457</v>
      </c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2" t="s">
        <v>405</v>
      </c>
      <c r="B214" s="43" t="s">
        <v>523</v>
      </c>
      <c r="C214" s="42" t="s">
        <v>595</v>
      </c>
      <c r="D214" s="42" t="s">
        <v>451</v>
      </c>
      <c r="E214" s="46">
        <v>46132.22916666667</v>
      </c>
      <c r="F214" s="43" t="s">
        <v>781</v>
      </c>
      <c r="G214" s="42" t="s">
        <v>595</v>
      </c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2" t="s">
        <v>409</v>
      </c>
      <c r="B215" s="43" t="s">
        <v>490</v>
      </c>
      <c r="C215" s="42" t="s">
        <v>557</v>
      </c>
      <c r="D215" s="42" t="s">
        <v>451</v>
      </c>
      <c r="E215" s="46">
        <v>46148.22916666667</v>
      </c>
      <c r="F215" s="43" t="s">
        <v>782</v>
      </c>
      <c r="G215" s="42" t="s">
        <v>557</v>
      </c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2" t="s">
        <v>403</v>
      </c>
      <c r="B216" s="43" t="s">
        <v>570</v>
      </c>
      <c r="C216" s="42" t="s">
        <v>777</v>
      </c>
      <c r="D216" s="42" t="s">
        <v>451</v>
      </c>
      <c r="E216" s="44">
        <v>46149.22916666667</v>
      </c>
      <c r="F216" s="43" t="s">
        <v>783</v>
      </c>
      <c r="G216" s="42" t="s">
        <v>777</v>
      </c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2" t="s">
        <v>370</v>
      </c>
      <c r="B217" s="43" t="s">
        <v>582</v>
      </c>
      <c r="C217" s="42" t="s">
        <v>549</v>
      </c>
      <c r="D217" s="42" t="s">
        <v>451</v>
      </c>
      <c r="E217" s="46">
        <v>46149.22916666667</v>
      </c>
      <c r="F217" s="43" t="s">
        <v>784</v>
      </c>
      <c r="G217" s="42" t="s">
        <v>549</v>
      </c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2" t="s">
        <v>370</v>
      </c>
      <c r="B218" s="43" t="s">
        <v>785</v>
      </c>
      <c r="C218" s="42" t="s">
        <v>474</v>
      </c>
      <c r="D218" s="42" t="s">
        <v>484</v>
      </c>
      <c r="E218" s="46">
        <v>46150.22916666667</v>
      </c>
      <c r="F218" s="43" t="s">
        <v>786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2" t="s">
        <v>403</v>
      </c>
      <c r="B219" s="43" t="s">
        <v>582</v>
      </c>
      <c r="C219" s="42" t="s">
        <v>777</v>
      </c>
      <c r="D219" s="42" t="s">
        <v>451</v>
      </c>
      <c r="E219" s="46">
        <v>46178.22916666667</v>
      </c>
      <c r="F219" s="43" t="s">
        <v>787</v>
      </c>
      <c r="G219" s="42" t="s">
        <v>762</v>
      </c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2" t="s">
        <v>285</v>
      </c>
      <c r="B220" s="43" t="s">
        <v>788</v>
      </c>
      <c r="C220" s="42" t="s">
        <v>457</v>
      </c>
      <c r="D220" s="42" t="s">
        <v>451</v>
      </c>
      <c r="E220" s="46">
        <v>46155.22916666667</v>
      </c>
      <c r="F220" s="43" t="s">
        <v>789</v>
      </c>
      <c r="G220" s="42" t="s">
        <v>457</v>
      </c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2" t="s">
        <v>409</v>
      </c>
      <c r="B221" s="43" t="s">
        <v>570</v>
      </c>
      <c r="C221" s="42" t="s">
        <v>549</v>
      </c>
      <c r="D221" s="42" t="s">
        <v>451</v>
      </c>
      <c r="E221" s="46">
        <v>46151.22916666667</v>
      </c>
      <c r="F221" s="43" t="s">
        <v>790</v>
      </c>
      <c r="G221" s="42" t="s">
        <v>549</v>
      </c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2" t="s">
        <v>409</v>
      </c>
      <c r="B222" s="43" t="s">
        <v>582</v>
      </c>
      <c r="C222" s="42" t="s">
        <v>549</v>
      </c>
      <c r="D222" s="42" t="s">
        <v>451</v>
      </c>
      <c r="E222" s="46">
        <v>46153.22916666667</v>
      </c>
      <c r="F222" s="43" t="s">
        <v>791</v>
      </c>
      <c r="G222" s="42" t="s">
        <v>549</v>
      </c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2" t="s">
        <v>377</v>
      </c>
      <c r="B223" s="43" t="s">
        <v>792</v>
      </c>
      <c r="C223" s="42" t="s">
        <v>457</v>
      </c>
      <c r="D223" s="42" t="s">
        <v>451</v>
      </c>
      <c r="E223" s="46">
        <v>46160.22916666667</v>
      </c>
      <c r="F223" s="43" t="s">
        <v>793</v>
      </c>
      <c r="G223" s="42" t="s">
        <v>457</v>
      </c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2" t="s">
        <v>412</v>
      </c>
      <c r="B224" s="43" t="s">
        <v>794</v>
      </c>
      <c r="C224" s="42" t="s">
        <v>457</v>
      </c>
      <c r="D224" s="42" t="s">
        <v>451</v>
      </c>
      <c r="E224" s="46">
        <v>46157.22916666667</v>
      </c>
      <c r="F224" s="43" t="s">
        <v>795</v>
      </c>
      <c r="G224" s="42" t="s">
        <v>457</v>
      </c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2" t="s">
        <v>430</v>
      </c>
      <c r="B225" s="43" t="s">
        <v>796</v>
      </c>
      <c r="C225" s="42" t="s">
        <v>457</v>
      </c>
      <c r="D225" s="42" t="s">
        <v>451</v>
      </c>
      <c r="E225" s="46">
        <v>46158.22916666667</v>
      </c>
      <c r="F225" s="43" t="s">
        <v>797</v>
      </c>
      <c r="G225" s="42" t="s">
        <v>457</v>
      </c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2" t="s">
        <v>312</v>
      </c>
      <c r="B226" s="43" t="s">
        <v>798</v>
      </c>
      <c r="C226" s="42" t="s">
        <v>474</v>
      </c>
      <c r="D226" s="42" t="s">
        <v>451</v>
      </c>
      <c r="E226" s="46">
        <v>46021.22916666667</v>
      </c>
      <c r="F226" s="43" t="s">
        <v>799</v>
      </c>
      <c r="G226" s="42" t="s">
        <v>474</v>
      </c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2" t="s">
        <v>312</v>
      </c>
      <c r="B227" s="43" t="s">
        <v>800</v>
      </c>
      <c r="C227" s="42" t="s">
        <v>474</v>
      </c>
      <c r="D227" s="42" t="s">
        <v>451</v>
      </c>
      <c r="E227" s="46">
        <v>46132.22916666667</v>
      </c>
      <c r="F227" s="43" t="s">
        <v>801</v>
      </c>
      <c r="G227" s="42" t="s">
        <v>486</v>
      </c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2" t="s">
        <v>414</v>
      </c>
      <c r="B228" s="43" t="s">
        <v>802</v>
      </c>
      <c r="C228" s="42" t="s">
        <v>457</v>
      </c>
      <c r="D228" s="42" t="s">
        <v>451</v>
      </c>
      <c r="E228" s="46">
        <v>46158.22916666667</v>
      </c>
      <c r="F228" s="43" t="s">
        <v>803</v>
      </c>
      <c r="G228" s="42" t="s">
        <v>457</v>
      </c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2" t="s">
        <v>418</v>
      </c>
      <c r="B229" s="43" t="s">
        <v>468</v>
      </c>
      <c r="C229" s="42" t="s">
        <v>457</v>
      </c>
      <c r="D229" s="42" t="s">
        <v>451</v>
      </c>
      <c r="E229" s="46">
        <v>46140.22916666667</v>
      </c>
      <c r="F229" s="43" t="s">
        <v>804</v>
      </c>
      <c r="G229" s="42" t="s">
        <v>457</v>
      </c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2" t="s">
        <v>418</v>
      </c>
      <c r="B230" s="43" t="s">
        <v>805</v>
      </c>
      <c r="C230" s="42" t="s">
        <v>457</v>
      </c>
      <c r="D230" s="42" t="s">
        <v>451</v>
      </c>
      <c r="E230" s="46">
        <v>46154.22916666667</v>
      </c>
      <c r="F230" s="43" t="s">
        <v>806</v>
      </c>
      <c r="G230" s="42" t="s">
        <v>457</v>
      </c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2" t="s">
        <v>418</v>
      </c>
      <c r="B231" s="43" t="s">
        <v>807</v>
      </c>
      <c r="C231" s="42" t="s">
        <v>808</v>
      </c>
      <c r="D231" s="42" t="s">
        <v>451</v>
      </c>
      <c r="E231" s="46">
        <v>46155.22916666667</v>
      </c>
      <c r="F231" s="43" t="s">
        <v>809</v>
      </c>
      <c r="G231" s="42" t="s">
        <v>808</v>
      </c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2" t="s">
        <v>418</v>
      </c>
      <c r="B232" s="43" t="s">
        <v>771</v>
      </c>
      <c r="C232" s="42" t="s">
        <v>450</v>
      </c>
      <c r="D232" s="42" t="s">
        <v>451</v>
      </c>
      <c r="E232" s="46">
        <v>46160.22916666667</v>
      </c>
      <c r="F232" s="43" t="s">
        <v>810</v>
      </c>
      <c r="G232" s="42" t="s">
        <v>450</v>
      </c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2" t="s">
        <v>401</v>
      </c>
      <c r="B233" s="43" t="s">
        <v>570</v>
      </c>
      <c r="C233" s="42" t="s">
        <v>777</v>
      </c>
      <c r="D233" s="42" t="s">
        <v>451</v>
      </c>
      <c r="E233" s="46">
        <v>46150.22916666667</v>
      </c>
      <c r="F233" s="43" t="s">
        <v>811</v>
      </c>
      <c r="G233" s="42" t="s">
        <v>777</v>
      </c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2" t="s">
        <v>401</v>
      </c>
      <c r="B234" s="43" t="s">
        <v>582</v>
      </c>
      <c r="C234" s="42" t="s">
        <v>486</v>
      </c>
      <c r="D234" s="42" t="s">
        <v>451</v>
      </c>
      <c r="E234" s="46">
        <v>46157.22916666667</v>
      </c>
      <c r="F234" s="43" t="s">
        <v>812</v>
      </c>
      <c r="G234" s="42" t="s">
        <v>777</v>
      </c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2" t="s">
        <v>285</v>
      </c>
      <c r="B235" s="43" t="s">
        <v>813</v>
      </c>
      <c r="C235" s="42" t="s">
        <v>457</v>
      </c>
      <c r="D235" s="42" t="s">
        <v>484</v>
      </c>
      <c r="E235" s="46">
        <v>46184.22916666667</v>
      </c>
      <c r="F235" s="49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2" t="s">
        <v>412</v>
      </c>
      <c r="B236" s="43" t="s">
        <v>814</v>
      </c>
      <c r="C236" s="42" t="s">
        <v>457</v>
      </c>
      <c r="D236" s="42" t="s">
        <v>484</v>
      </c>
      <c r="E236" s="46">
        <v>46160.22916666667</v>
      </c>
      <c r="F236" s="49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2" t="s">
        <v>264</v>
      </c>
      <c r="B237" s="43" t="s">
        <v>570</v>
      </c>
      <c r="C237" s="42" t="s">
        <v>474</v>
      </c>
      <c r="D237" s="42" t="s">
        <v>451</v>
      </c>
      <c r="E237" s="46">
        <v>45945.22916666667</v>
      </c>
      <c r="F237" s="43" t="s">
        <v>815</v>
      </c>
      <c r="G237" s="42" t="s">
        <v>474</v>
      </c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2" t="s">
        <v>264</v>
      </c>
      <c r="B238" s="43" t="s">
        <v>816</v>
      </c>
      <c r="C238" s="42" t="s">
        <v>486</v>
      </c>
      <c r="D238" s="42" t="s">
        <v>451</v>
      </c>
      <c r="E238" s="46">
        <v>46158.22916666667</v>
      </c>
      <c r="F238" s="43" t="s">
        <v>817</v>
      </c>
      <c r="G238" s="42" t="s">
        <v>486</v>
      </c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2" t="s">
        <v>318</v>
      </c>
      <c r="B239" s="43" t="s">
        <v>818</v>
      </c>
      <c r="C239" s="42" t="s">
        <v>457</v>
      </c>
      <c r="D239" s="42" t="s">
        <v>451</v>
      </c>
      <c r="E239" s="46">
        <v>46160.22916666667</v>
      </c>
      <c r="F239" s="43" t="s">
        <v>819</v>
      </c>
      <c r="G239" s="42" t="s">
        <v>457</v>
      </c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2" t="s">
        <v>318</v>
      </c>
      <c r="B240" s="43" t="s">
        <v>820</v>
      </c>
      <c r="C240" s="42" t="s">
        <v>457</v>
      </c>
      <c r="D240" s="42" t="s">
        <v>451</v>
      </c>
      <c r="E240" s="46">
        <v>46160.22916666667</v>
      </c>
      <c r="F240" s="43" t="s">
        <v>821</v>
      </c>
      <c r="G240" s="42" t="s">
        <v>457</v>
      </c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2" t="s">
        <v>264</v>
      </c>
      <c r="B241" s="43" t="s">
        <v>822</v>
      </c>
      <c r="C241" s="42" t="s">
        <v>457</v>
      </c>
      <c r="D241" s="42" t="s">
        <v>484</v>
      </c>
      <c r="E241" s="46">
        <v>46161.22916666667</v>
      </c>
      <c r="F241" s="49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2" t="s">
        <v>377</v>
      </c>
      <c r="B242" s="43" t="s">
        <v>570</v>
      </c>
      <c r="C242" s="42" t="s">
        <v>457</v>
      </c>
      <c r="D242" s="42" t="s">
        <v>484</v>
      </c>
      <c r="E242" s="46">
        <v>46161.22916666667</v>
      </c>
      <c r="F242" s="49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2" t="s">
        <v>377</v>
      </c>
      <c r="B243" s="43" t="s">
        <v>582</v>
      </c>
      <c r="C243" s="42" t="s">
        <v>457</v>
      </c>
      <c r="D243" s="42" t="s">
        <v>484</v>
      </c>
      <c r="E243" s="44">
        <v>46161.22916666667</v>
      </c>
      <c r="F243" s="43" t="s">
        <v>823</v>
      </c>
      <c r="G243" s="42" t="s">
        <v>457</v>
      </c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2" t="s">
        <v>49</v>
      </c>
      <c r="B244" s="43" t="s">
        <v>824</v>
      </c>
      <c r="C244" s="42" t="s">
        <v>457</v>
      </c>
      <c r="D244" s="42" t="s">
        <v>451</v>
      </c>
      <c r="E244" s="46">
        <v>46161.22916666667</v>
      </c>
      <c r="F244" s="43" t="s">
        <v>825</v>
      </c>
      <c r="G244" s="42" t="s">
        <v>457</v>
      </c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2" t="s">
        <v>392</v>
      </c>
      <c r="B245" s="43" t="s">
        <v>826</v>
      </c>
      <c r="C245" s="42" t="s">
        <v>457</v>
      </c>
      <c r="D245" s="42" t="s">
        <v>451</v>
      </c>
      <c r="E245" s="46">
        <v>46161.22916666667</v>
      </c>
      <c r="F245" s="43" t="s">
        <v>827</v>
      </c>
      <c r="G245" s="42" t="s">
        <v>457</v>
      </c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2" t="s">
        <v>430</v>
      </c>
      <c r="B246" s="43" t="s">
        <v>771</v>
      </c>
      <c r="C246" s="42" t="s">
        <v>474</v>
      </c>
      <c r="D246" s="42" t="s">
        <v>451</v>
      </c>
      <c r="E246" s="46">
        <v>46165.22916666667</v>
      </c>
      <c r="F246" s="43" t="s">
        <v>828</v>
      </c>
      <c r="G246" s="42" t="s">
        <v>457</v>
      </c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2" t="s">
        <v>430</v>
      </c>
      <c r="B247" s="43" t="s">
        <v>829</v>
      </c>
      <c r="C247" s="42" t="s">
        <v>474</v>
      </c>
      <c r="D247" s="42" t="s">
        <v>451</v>
      </c>
      <c r="E247" s="46">
        <v>46164.22916666667</v>
      </c>
      <c r="F247" s="43" t="s">
        <v>830</v>
      </c>
      <c r="G247" s="42" t="s">
        <v>549</v>
      </c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2" t="s">
        <v>357</v>
      </c>
      <c r="B248" s="43" t="s">
        <v>831</v>
      </c>
      <c r="C248" s="42" t="s">
        <v>486</v>
      </c>
      <c r="D248" s="42" t="s">
        <v>484</v>
      </c>
      <c r="E248" s="46">
        <v>46166.22916666667</v>
      </c>
      <c r="F248" s="49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2" t="s">
        <v>372</v>
      </c>
      <c r="B249" s="43" t="s">
        <v>832</v>
      </c>
      <c r="C249" s="42" t="s">
        <v>457</v>
      </c>
      <c r="D249" s="42" t="s">
        <v>451</v>
      </c>
      <c r="E249" s="46">
        <v>46181.22916666667</v>
      </c>
      <c r="F249" s="43" t="s">
        <v>833</v>
      </c>
      <c r="G249" s="42" t="s">
        <v>834</v>
      </c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2" t="s">
        <v>343</v>
      </c>
      <c r="B250" s="43" t="s">
        <v>582</v>
      </c>
      <c r="C250" s="42" t="s">
        <v>474</v>
      </c>
      <c r="D250" s="42" t="s">
        <v>451</v>
      </c>
      <c r="E250" s="46">
        <v>46156.22916666667</v>
      </c>
      <c r="F250" s="43" t="s">
        <v>835</v>
      </c>
      <c r="G250" s="42" t="s">
        <v>549</v>
      </c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2" t="s">
        <v>343</v>
      </c>
      <c r="B251" s="43" t="s">
        <v>836</v>
      </c>
      <c r="C251" s="42" t="s">
        <v>457</v>
      </c>
      <c r="D251" s="42" t="s">
        <v>484</v>
      </c>
      <c r="E251" s="46">
        <v>46168.22916666667</v>
      </c>
      <c r="F251" s="49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2" t="s">
        <v>343</v>
      </c>
      <c r="B252" s="43" t="s">
        <v>837</v>
      </c>
      <c r="C252" s="42" t="s">
        <v>457</v>
      </c>
      <c r="D252" s="42" t="s">
        <v>484</v>
      </c>
      <c r="E252" s="46">
        <v>46168.22916666667</v>
      </c>
      <c r="F252" s="49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2" t="s">
        <v>432</v>
      </c>
      <c r="B253" s="43" t="s">
        <v>838</v>
      </c>
      <c r="C253" s="42" t="s">
        <v>457</v>
      </c>
      <c r="D253" s="42" t="s">
        <v>451</v>
      </c>
      <c r="E253" s="46">
        <v>46174.22916666667</v>
      </c>
      <c r="F253" s="43" t="s">
        <v>839</v>
      </c>
      <c r="G253" s="42" t="s">
        <v>457</v>
      </c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2" t="s">
        <v>432</v>
      </c>
      <c r="B254" s="43" t="s">
        <v>840</v>
      </c>
      <c r="C254" s="42" t="s">
        <v>457</v>
      </c>
      <c r="D254" s="42" t="s">
        <v>484</v>
      </c>
      <c r="E254" s="44">
        <v>46177.22916666667</v>
      </c>
      <c r="F254" s="43" t="s">
        <v>841</v>
      </c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2" t="s">
        <v>253</v>
      </c>
      <c r="B255" s="43" t="s">
        <v>842</v>
      </c>
      <c r="C255" s="42" t="s">
        <v>486</v>
      </c>
      <c r="D255" s="42" t="s">
        <v>451</v>
      </c>
      <c r="E255" s="46">
        <v>46174.22916666667</v>
      </c>
      <c r="F255" s="43" t="s">
        <v>843</v>
      </c>
      <c r="G255" s="42" t="s">
        <v>486</v>
      </c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2" t="s">
        <v>253</v>
      </c>
      <c r="B256" s="43" t="s">
        <v>844</v>
      </c>
      <c r="C256" s="42" t="s">
        <v>457</v>
      </c>
      <c r="D256" s="42" t="s">
        <v>451</v>
      </c>
      <c r="E256" s="46">
        <v>46176.22916666667</v>
      </c>
      <c r="F256" s="43" t="s">
        <v>845</v>
      </c>
      <c r="G256" s="42" t="s">
        <v>457</v>
      </c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2" t="s">
        <v>253</v>
      </c>
      <c r="B257" s="43" t="s">
        <v>846</v>
      </c>
      <c r="C257" s="42" t="s">
        <v>457</v>
      </c>
      <c r="D257" s="42" t="s">
        <v>484</v>
      </c>
      <c r="E257" s="46">
        <v>46177.22916666667</v>
      </c>
      <c r="F257" s="49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2" t="s">
        <v>324</v>
      </c>
      <c r="B258" s="43" t="s">
        <v>847</v>
      </c>
      <c r="C258" s="42" t="s">
        <v>457</v>
      </c>
      <c r="D258" s="42" t="s">
        <v>484</v>
      </c>
      <c r="E258" s="46">
        <v>46177.22916666667</v>
      </c>
      <c r="F258" s="43" t="s">
        <v>848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2" t="s">
        <v>409</v>
      </c>
      <c r="B259" s="43" t="s">
        <v>577</v>
      </c>
      <c r="C259" s="42" t="s">
        <v>474</v>
      </c>
      <c r="D259" s="42" t="s">
        <v>451</v>
      </c>
      <c r="E259" s="44">
        <v>46177.22916666667</v>
      </c>
      <c r="F259" s="43" t="s">
        <v>849</v>
      </c>
      <c r="G259" s="42" t="s">
        <v>474</v>
      </c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2" t="s">
        <v>420</v>
      </c>
      <c r="B260" s="43" t="s">
        <v>648</v>
      </c>
      <c r="C260" s="42" t="s">
        <v>457</v>
      </c>
      <c r="D260" s="42" t="s">
        <v>451</v>
      </c>
      <c r="E260" s="46">
        <v>46175.22916666667</v>
      </c>
      <c r="F260" s="43" t="s">
        <v>850</v>
      </c>
      <c r="G260" s="42" t="s">
        <v>457</v>
      </c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2" t="s">
        <v>420</v>
      </c>
      <c r="B261" s="43" t="s">
        <v>648</v>
      </c>
      <c r="C261" s="42" t="s">
        <v>457</v>
      </c>
      <c r="D261" s="42" t="s">
        <v>451</v>
      </c>
      <c r="E261" s="46">
        <v>46177.22916666667</v>
      </c>
      <c r="F261" s="43" t="s">
        <v>851</v>
      </c>
      <c r="G261" s="42" t="s">
        <v>457</v>
      </c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2" t="s">
        <v>420</v>
      </c>
      <c r="B262" s="43" t="s">
        <v>852</v>
      </c>
      <c r="C262" s="42" t="s">
        <v>457</v>
      </c>
      <c r="D262" s="42" t="s">
        <v>451</v>
      </c>
      <c r="E262" s="46">
        <v>46177.22916666667</v>
      </c>
      <c r="F262" s="43" t="s">
        <v>853</v>
      </c>
      <c r="G262" s="42" t="s">
        <v>457</v>
      </c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2" t="s">
        <v>442</v>
      </c>
      <c r="B263" s="43" t="s">
        <v>854</v>
      </c>
      <c r="C263" s="42" t="s">
        <v>457</v>
      </c>
      <c r="D263" s="42" t="s">
        <v>484</v>
      </c>
      <c r="E263" s="46">
        <v>46181.22916666667</v>
      </c>
      <c r="F263" s="49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2" t="s">
        <v>348</v>
      </c>
      <c r="B264" s="43" t="s">
        <v>577</v>
      </c>
      <c r="C264" s="42" t="s">
        <v>474</v>
      </c>
      <c r="D264" s="42" t="s">
        <v>451</v>
      </c>
      <c r="E264" s="46">
        <v>46181.22916666667</v>
      </c>
      <c r="F264" s="43" t="s">
        <v>855</v>
      </c>
      <c r="G264" s="42" t="s">
        <v>474</v>
      </c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2" t="s">
        <v>372</v>
      </c>
      <c r="B265" s="43" t="s">
        <v>582</v>
      </c>
      <c r="C265" s="42" t="s">
        <v>457</v>
      </c>
      <c r="D265" s="42" t="s">
        <v>484</v>
      </c>
      <c r="E265" s="46">
        <v>46185.22916666667</v>
      </c>
      <c r="F265" s="49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2" t="s">
        <v>332</v>
      </c>
      <c r="B266" s="43" t="s">
        <v>856</v>
      </c>
      <c r="C266" s="42" t="s">
        <v>457</v>
      </c>
      <c r="D266" s="42" t="s">
        <v>484</v>
      </c>
      <c r="E266" s="46">
        <v>46182.22916666667</v>
      </c>
      <c r="F266" s="49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2" t="s">
        <v>318</v>
      </c>
      <c r="B267" s="43" t="s">
        <v>476</v>
      </c>
      <c r="C267" s="42" t="s">
        <v>457</v>
      </c>
      <c r="D267" s="42" t="s">
        <v>451</v>
      </c>
      <c r="E267" s="46">
        <v>46182.22916666667</v>
      </c>
      <c r="F267" s="43" t="s">
        <v>857</v>
      </c>
      <c r="G267" s="42" t="s">
        <v>486</v>
      </c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2" t="s">
        <v>318</v>
      </c>
      <c r="B268" s="43" t="s">
        <v>858</v>
      </c>
      <c r="C268" s="42" t="s">
        <v>486</v>
      </c>
      <c r="D268" s="42" t="s">
        <v>484</v>
      </c>
      <c r="E268" s="46">
        <v>46183.22916666667</v>
      </c>
      <c r="F268" s="49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2" t="s">
        <v>414</v>
      </c>
      <c r="B269" s="43" t="s">
        <v>840</v>
      </c>
      <c r="C269" s="42" t="s">
        <v>457</v>
      </c>
      <c r="D269" s="42" t="s">
        <v>484</v>
      </c>
      <c r="E269" s="46">
        <v>46185.22916666667</v>
      </c>
      <c r="F269" s="49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9"/>
      <c r="C270" s="45"/>
      <c r="D270" s="45"/>
      <c r="E270" s="56"/>
      <c r="F270" s="49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9"/>
      <c r="C271" s="45"/>
      <c r="D271" s="45"/>
      <c r="E271" s="56"/>
      <c r="F271" s="49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9"/>
      <c r="C272" s="45"/>
      <c r="D272" s="45"/>
      <c r="E272" s="56"/>
      <c r="F272" s="49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9"/>
      <c r="C273" s="45"/>
      <c r="D273" s="45"/>
      <c r="E273" s="56"/>
      <c r="F273" s="49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9"/>
      <c r="C274" s="45"/>
      <c r="D274" s="45"/>
      <c r="E274" s="56"/>
      <c r="F274" s="49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9"/>
      <c r="C275" s="45"/>
      <c r="D275" s="45"/>
      <c r="E275" s="56"/>
      <c r="F275" s="49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9"/>
      <c r="C276" s="45"/>
      <c r="D276" s="45"/>
      <c r="E276" s="56"/>
      <c r="F276" s="49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9"/>
      <c r="C277" s="45"/>
      <c r="D277" s="45"/>
      <c r="E277" s="56"/>
      <c r="F277" s="49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9"/>
      <c r="C278" s="45"/>
      <c r="D278" s="45"/>
      <c r="E278" s="56"/>
      <c r="F278" s="49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9"/>
      <c r="C279" s="45"/>
      <c r="D279" s="45"/>
      <c r="E279" s="56"/>
      <c r="F279" s="49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9"/>
      <c r="C280" s="45"/>
      <c r="D280" s="45"/>
      <c r="E280" s="56"/>
      <c r="F280" s="49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9"/>
      <c r="C281" s="45"/>
      <c r="D281" s="45"/>
      <c r="E281" s="56"/>
      <c r="F281" s="49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9"/>
      <c r="C282" s="45"/>
      <c r="D282" s="45"/>
      <c r="E282" s="56"/>
      <c r="F282" s="49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9"/>
      <c r="C283" s="45"/>
      <c r="D283" s="45"/>
      <c r="E283" s="56"/>
      <c r="F283" s="49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9"/>
      <c r="C284" s="45"/>
      <c r="D284" s="45"/>
      <c r="E284" s="56"/>
      <c r="F284" s="49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9"/>
      <c r="C285" s="45"/>
      <c r="D285" s="45"/>
      <c r="E285" s="56"/>
      <c r="F285" s="49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9"/>
      <c r="C286" s="45"/>
      <c r="D286" s="45"/>
      <c r="E286" s="56"/>
      <c r="F286" s="49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9"/>
      <c r="C287" s="45"/>
      <c r="D287" s="45"/>
      <c r="E287" s="56"/>
      <c r="F287" s="49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9"/>
      <c r="C288" s="45"/>
      <c r="D288" s="45"/>
      <c r="E288" s="56"/>
      <c r="F288" s="49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9"/>
      <c r="C289" s="45"/>
      <c r="D289" s="45"/>
      <c r="E289" s="56"/>
      <c r="F289" s="49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9"/>
      <c r="C290" s="45"/>
      <c r="D290" s="45"/>
      <c r="E290" s="56"/>
      <c r="F290" s="49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9"/>
      <c r="C291" s="45"/>
      <c r="D291" s="45"/>
      <c r="E291" s="56"/>
      <c r="F291" s="49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9"/>
      <c r="C292" s="45"/>
      <c r="D292" s="45"/>
      <c r="E292" s="56"/>
      <c r="F292" s="49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9"/>
      <c r="C293" s="45"/>
      <c r="D293" s="45"/>
      <c r="E293" s="56"/>
      <c r="F293" s="49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9"/>
      <c r="C294" s="45"/>
      <c r="D294" s="45"/>
      <c r="E294" s="56"/>
      <c r="F294" s="49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9"/>
      <c r="C295" s="45"/>
      <c r="D295" s="45"/>
      <c r="E295" s="56"/>
      <c r="F295" s="49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9"/>
      <c r="C296" s="45"/>
      <c r="D296" s="45"/>
      <c r="E296" s="56"/>
      <c r="F296" s="49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9"/>
      <c r="C297" s="45"/>
      <c r="D297" s="45"/>
      <c r="E297" s="56"/>
      <c r="F297" s="49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9"/>
      <c r="C298" s="45"/>
      <c r="D298" s="45"/>
      <c r="E298" s="56"/>
      <c r="F298" s="49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9"/>
      <c r="C299" s="45"/>
      <c r="D299" s="45"/>
      <c r="E299" s="56"/>
      <c r="F299" s="49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9"/>
      <c r="C300" s="45"/>
      <c r="D300" s="45"/>
      <c r="E300" s="56"/>
      <c r="F300" s="49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9"/>
      <c r="C301" s="45"/>
      <c r="D301" s="45"/>
      <c r="E301" s="56"/>
      <c r="F301" s="49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9"/>
      <c r="C302" s="45"/>
      <c r="D302" s="45"/>
      <c r="E302" s="56"/>
      <c r="F302" s="49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9"/>
      <c r="C303" s="45"/>
      <c r="D303" s="45"/>
      <c r="E303" s="56"/>
      <c r="F303" s="49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9"/>
      <c r="C304" s="45"/>
      <c r="D304" s="45"/>
      <c r="E304" s="56"/>
      <c r="F304" s="49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9"/>
      <c r="C305" s="45"/>
      <c r="D305" s="45"/>
      <c r="E305" s="56"/>
      <c r="F305" s="49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9"/>
      <c r="C306" s="45"/>
      <c r="D306" s="45"/>
      <c r="E306" s="56"/>
      <c r="F306" s="49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9"/>
      <c r="C307" s="45"/>
      <c r="D307" s="45"/>
      <c r="E307" s="56"/>
      <c r="F307" s="49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9"/>
      <c r="C308" s="45"/>
      <c r="D308" s="45"/>
      <c r="E308" s="56"/>
      <c r="F308" s="49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9"/>
      <c r="C309" s="45"/>
      <c r="D309" s="45"/>
      <c r="E309" s="56"/>
      <c r="F309" s="49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9"/>
      <c r="C310" s="45"/>
      <c r="D310" s="45"/>
      <c r="E310" s="56"/>
      <c r="F310" s="49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9"/>
      <c r="C311" s="45"/>
      <c r="D311" s="45"/>
      <c r="E311" s="56"/>
      <c r="F311" s="49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9"/>
      <c r="C312" s="45"/>
      <c r="D312" s="45"/>
      <c r="E312" s="56"/>
      <c r="F312" s="49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9"/>
      <c r="C313" s="45"/>
      <c r="D313" s="45"/>
      <c r="E313" s="56"/>
      <c r="F313" s="49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9"/>
      <c r="C314" s="45"/>
      <c r="D314" s="45"/>
      <c r="E314" s="56"/>
      <c r="F314" s="49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9"/>
      <c r="C315" s="45"/>
      <c r="D315" s="45"/>
      <c r="E315" s="56"/>
      <c r="F315" s="49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9"/>
      <c r="C316" s="45"/>
      <c r="D316" s="45"/>
      <c r="E316" s="56"/>
      <c r="F316" s="49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9"/>
      <c r="C317" s="45"/>
      <c r="D317" s="45"/>
      <c r="E317" s="56"/>
      <c r="F317" s="49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9"/>
      <c r="C318" s="45"/>
      <c r="D318" s="45"/>
      <c r="E318" s="56"/>
      <c r="F318" s="49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9"/>
      <c r="C319" s="45"/>
      <c r="D319" s="45"/>
      <c r="E319" s="56"/>
      <c r="F319" s="49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9"/>
      <c r="C320" s="45"/>
      <c r="D320" s="45"/>
      <c r="E320" s="56"/>
      <c r="F320" s="49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9"/>
      <c r="C321" s="45"/>
      <c r="D321" s="45"/>
      <c r="E321" s="56"/>
      <c r="F321" s="49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9"/>
      <c r="C322" s="45"/>
      <c r="D322" s="45"/>
      <c r="E322" s="56"/>
      <c r="F322" s="49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9"/>
      <c r="C323" s="45"/>
      <c r="D323" s="45"/>
      <c r="E323" s="56"/>
      <c r="F323" s="49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9"/>
      <c r="C324" s="45"/>
      <c r="D324" s="45"/>
      <c r="E324" s="56"/>
      <c r="F324" s="49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9"/>
      <c r="C325" s="45"/>
      <c r="D325" s="45"/>
      <c r="E325" s="56"/>
      <c r="F325" s="49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9"/>
      <c r="C326" s="45"/>
      <c r="D326" s="45"/>
      <c r="E326" s="56"/>
      <c r="F326" s="49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9"/>
      <c r="C327" s="45"/>
      <c r="D327" s="45"/>
      <c r="E327" s="56"/>
      <c r="F327" s="49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9"/>
      <c r="C328" s="45"/>
      <c r="D328" s="45"/>
      <c r="E328" s="56"/>
      <c r="F328" s="49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9"/>
      <c r="C329" s="45"/>
      <c r="D329" s="45"/>
      <c r="E329" s="56"/>
      <c r="F329" s="49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9"/>
      <c r="C330" s="45"/>
      <c r="D330" s="45"/>
      <c r="E330" s="56"/>
      <c r="F330" s="49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9"/>
      <c r="C331" s="45"/>
      <c r="D331" s="45"/>
      <c r="E331" s="56"/>
      <c r="F331" s="49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9"/>
      <c r="C332" s="45"/>
      <c r="D332" s="45"/>
      <c r="E332" s="56"/>
      <c r="F332" s="49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9"/>
      <c r="C333" s="45"/>
      <c r="D333" s="45"/>
      <c r="E333" s="56"/>
      <c r="F333" s="49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9"/>
      <c r="C334" s="45"/>
      <c r="D334" s="45"/>
      <c r="E334" s="56"/>
      <c r="F334" s="49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9"/>
      <c r="C335" s="45"/>
      <c r="D335" s="45"/>
      <c r="E335" s="56"/>
      <c r="F335" s="49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9"/>
      <c r="C336" s="45"/>
      <c r="D336" s="45"/>
      <c r="E336" s="56"/>
      <c r="F336" s="49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9"/>
      <c r="C337" s="45"/>
      <c r="D337" s="45"/>
      <c r="E337" s="56"/>
      <c r="F337" s="49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9"/>
      <c r="C338" s="45"/>
      <c r="D338" s="45"/>
      <c r="E338" s="56"/>
      <c r="F338" s="49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9"/>
      <c r="C339" s="45"/>
      <c r="D339" s="45"/>
      <c r="E339" s="56"/>
      <c r="F339" s="49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9"/>
      <c r="C340" s="45"/>
      <c r="D340" s="45"/>
      <c r="E340" s="56"/>
      <c r="F340" s="49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9"/>
      <c r="C341" s="45"/>
      <c r="D341" s="45"/>
      <c r="E341" s="56"/>
      <c r="F341" s="49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9"/>
      <c r="C342" s="45"/>
      <c r="D342" s="45"/>
      <c r="E342" s="56"/>
      <c r="F342" s="49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9"/>
      <c r="C343" s="45"/>
      <c r="D343" s="45"/>
      <c r="E343" s="56"/>
      <c r="F343" s="49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9"/>
      <c r="C344" s="45"/>
      <c r="D344" s="45"/>
      <c r="E344" s="56"/>
      <c r="F344" s="49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9"/>
      <c r="C345" s="45"/>
      <c r="D345" s="45"/>
      <c r="E345" s="56"/>
      <c r="F345" s="49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9"/>
      <c r="C346" s="45"/>
      <c r="D346" s="45"/>
      <c r="E346" s="56"/>
      <c r="F346" s="49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9"/>
      <c r="C347" s="45"/>
      <c r="D347" s="45"/>
      <c r="E347" s="56"/>
      <c r="F347" s="49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9"/>
      <c r="C348" s="45"/>
      <c r="D348" s="45"/>
      <c r="E348" s="56"/>
      <c r="F348" s="49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9"/>
      <c r="C349" s="45"/>
      <c r="D349" s="45"/>
      <c r="E349" s="56"/>
      <c r="F349" s="49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9"/>
      <c r="C350" s="45"/>
      <c r="D350" s="45"/>
      <c r="E350" s="56"/>
      <c r="F350" s="49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9"/>
      <c r="C351" s="45"/>
      <c r="D351" s="45"/>
      <c r="E351" s="56"/>
      <c r="F351" s="49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9"/>
      <c r="C352" s="45"/>
      <c r="D352" s="45"/>
      <c r="E352" s="56"/>
      <c r="F352" s="49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9"/>
      <c r="C353" s="45"/>
      <c r="D353" s="45"/>
      <c r="E353" s="56"/>
      <c r="F353" s="49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9"/>
      <c r="C354" s="45"/>
      <c r="D354" s="45"/>
      <c r="E354" s="56"/>
      <c r="F354" s="49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9"/>
      <c r="C355" s="45"/>
      <c r="D355" s="45"/>
      <c r="E355" s="56"/>
      <c r="F355" s="49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9"/>
      <c r="C356" s="45"/>
      <c r="D356" s="45"/>
      <c r="E356" s="56"/>
      <c r="F356" s="49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9"/>
      <c r="C357" s="45"/>
      <c r="D357" s="45"/>
      <c r="E357" s="56"/>
      <c r="F357" s="49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9"/>
      <c r="C358" s="45"/>
      <c r="D358" s="45"/>
      <c r="E358" s="56"/>
      <c r="F358" s="49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9"/>
      <c r="C359" s="45"/>
      <c r="D359" s="45"/>
      <c r="E359" s="56"/>
      <c r="F359" s="49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9"/>
      <c r="C360" s="45"/>
      <c r="D360" s="45"/>
      <c r="E360" s="56"/>
      <c r="F360" s="49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9"/>
      <c r="C361" s="45"/>
      <c r="D361" s="45"/>
      <c r="E361" s="56"/>
      <c r="F361" s="49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9"/>
      <c r="C362" s="45"/>
      <c r="D362" s="45"/>
      <c r="E362" s="56"/>
      <c r="F362" s="49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9"/>
      <c r="C363" s="45"/>
      <c r="D363" s="45"/>
      <c r="E363" s="56"/>
      <c r="F363" s="49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9"/>
      <c r="C364" s="45"/>
      <c r="D364" s="45"/>
      <c r="E364" s="56"/>
      <c r="F364" s="49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9"/>
      <c r="C365" s="45"/>
      <c r="D365" s="45"/>
      <c r="E365" s="56"/>
      <c r="F365" s="49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9"/>
      <c r="C366" s="45"/>
      <c r="D366" s="45"/>
      <c r="E366" s="56"/>
      <c r="F366" s="49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9"/>
      <c r="C367" s="45"/>
      <c r="D367" s="45"/>
      <c r="E367" s="56"/>
      <c r="F367" s="49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9"/>
      <c r="C368" s="45"/>
      <c r="D368" s="45"/>
      <c r="E368" s="56"/>
      <c r="F368" s="49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9"/>
      <c r="C369" s="45"/>
      <c r="D369" s="45"/>
      <c r="E369" s="56"/>
      <c r="F369" s="49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9"/>
      <c r="C370" s="45"/>
      <c r="D370" s="45"/>
      <c r="E370" s="56"/>
      <c r="F370" s="49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9"/>
      <c r="C371" s="45"/>
      <c r="D371" s="45"/>
      <c r="E371" s="56"/>
      <c r="F371" s="49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9"/>
      <c r="C372" s="45"/>
      <c r="D372" s="45"/>
      <c r="E372" s="56"/>
      <c r="F372" s="49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9"/>
      <c r="C373" s="45"/>
      <c r="D373" s="45"/>
      <c r="E373" s="56"/>
      <c r="F373" s="49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9"/>
      <c r="C374" s="45"/>
      <c r="D374" s="45"/>
      <c r="E374" s="56"/>
      <c r="F374" s="49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9"/>
      <c r="C375" s="45"/>
      <c r="D375" s="45"/>
      <c r="E375" s="56"/>
      <c r="F375" s="49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9"/>
      <c r="C376" s="45"/>
      <c r="D376" s="45"/>
      <c r="E376" s="56"/>
      <c r="F376" s="49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9"/>
      <c r="C377" s="45"/>
      <c r="D377" s="45"/>
      <c r="E377" s="56"/>
      <c r="F377" s="49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9"/>
      <c r="C378" s="45"/>
      <c r="D378" s="45"/>
      <c r="E378" s="56"/>
      <c r="F378" s="49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9"/>
      <c r="C379" s="45"/>
      <c r="D379" s="45"/>
      <c r="E379" s="56"/>
      <c r="F379" s="49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9"/>
      <c r="C380" s="45"/>
      <c r="D380" s="45"/>
      <c r="E380" s="56"/>
      <c r="F380" s="49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9"/>
      <c r="C381" s="45"/>
      <c r="D381" s="45"/>
      <c r="E381" s="56"/>
      <c r="F381" s="49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9"/>
      <c r="C382" s="45"/>
      <c r="D382" s="45"/>
      <c r="E382" s="56"/>
      <c r="F382" s="49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9"/>
      <c r="C383" s="45"/>
      <c r="D383" s="45"/>
      <c r="E383" s="56"/>
      <c r="F383" s="49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9"/>
      <c r="C384" s="45"/>
      <c r="D384" s="45"/>
      <c r="E384" s="56"/>
      <c r="F384" s="49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9"/>
      <c r="C385" s="45"/>
      <c r="D385" s="45"/>
      <c r="E385" s="56"/>
      <c r="F385" s="49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9"/>
      <c r="C386" s="45"/>
      <c r="D386" s="45"/>
      <c r="E386" s="56"/>
      <c r="F386" s="49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9"/>
      <c r="C387" s="45"/>
      <c r="D387" s="45"/>
      <c r="E387" s="56"/>
      <c r="F387" s="49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9"/>
      <c r="C388" s="45"/>
      <c r="D388" s="45"/>
      <c r="E388" s="56"/>
      <c r="F388" s="49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9"/>
      <c r="C389" s="45"/>
      <c r="D389" s="45"/>
      <c r="E389" s="56"/>
      <c r="F389" s="49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9"/>
      <c r="C390" s="45"/>
      <c r="D390" s="45"/>
      <c r="E390" s="56"/>
      <c r="F390" s="49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9"/>
      <c r="C391" s="45"/>
      <c r="D391" s="45"/>
      <c r="E391" s="56"/>
      <c r="F391" s="49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9"/>
      <c r="C392" s="45"/>
      <c r="D392" s="45"/>
      <c r="E392" s="56"/>
      <c r="F392" s="49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9"/>
      <c r="C393" s="45"/>
      <c r="D393" s="45"/>
      <c r="E393" s="56"/>
      <c r="F393" s="49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9"/>
      <c r="C394" s="45"/>
      <c r="D394" s="45"/>
      <c r="E394" s="56"/>
      <c r="F394" s="49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9"/>
      <c r="C395" s="45"/>
      <c r="D395" s="45"/>
      <c r="E395" s="56"/>
      <c r="F395" s="49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9"/>
      <c r="C396" s="45"/>
      <c r="D396" s="45"/>
      <c r="E396" s="56"/>
      <c r="F396" s="49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9"/>
      <c r="C397" s="45"/>
      <c r="D397" s="45"/>
      <c r="E397" s="56"/>
      <c r="F397" s="49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9"/>
      <c r="C398" s="45"/>
      <c r="D398" s="45"/>
      <c r="E398" s="56"/>
      <c r="F398" s="49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9"/>
      <c r="C399" s="45"/>
      <c r="D399" s="45"/>
      <c r="E399" s="56"/>
      <c r="F399" s="49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9"/>
      <c r="C400" s="45"/>
      <c r="D400" s="45"/>
      <c r="E400" s="56"/>
      <c r="F400" s="49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9"/>
      <c r="C401" s="45"/>
      <c r="D401" s="45"/>
      <c r="E401" s="56"/>
      <c r="F401" s="49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9"/>
      <c r="C402" s="45"/>
      <c r="D402" s="45"/>
      <c r="E402" s="56"/>
      <c r="F402" s="49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9"/>
      <c r="C403" s="45"/>
      <c r="D403" s="45"/>
      <c r="E403" s="56"/>
      <c r="F403" s="49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9"/>
      <c r="C404" s="45"/>
      <c r="D404" s="45"/>
      <c r="E404" s="56"/>
      <c r="F404" s="49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9"/>
      <c r="C405" s="45"/>
      <c r="D405" s="45"/>
      <c r="E405" s="56"/>
      <c r="F405" s="49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9"/>
      <c r="C406" s="45"/>
      <c r="D406" s="45"/>
      <c r="E406" s="56"/>
      <c r="F406" s="49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9"/>
      <c r="C407" s="45"/>
      <c r="D407" s="45"/>
      <c r="E407" s="56"/>
      <c r="F407" s="49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9"/>
      <c r="C408" s="45"/>
      <c r="D408" s="45"/>
      <c r="E408" s="56"/>
      <c r="F408" s="49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9"/>
      <c r="C409" s="45"/>
      <c r="D409" s="45"/>
      <c r="E409" s="56"/>
      <c r="F409" s="49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9"/>
      <c r="C410" s="45"/>
      <c r="D410" s="45"/>
      <c r="E410" s="56"/>
      <c r="F410" s="49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9"/>
      <c r="C411" s="45"/>
      <c r="D411" s="45"/>
      <c r="E411" s="56"/>
      <c r="F411" s="49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9"/>
      <c r="C412" s="45"/>
      <c r="D412" s="45"/>
      <c r="E412" s="56"/>
      <c r="F412" s="49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9"/>
      <c r="C413" s="45"/>
      <c r="D413" s="45"/>
      <c r="E413" s="56"/>
      <c r="F413" s="49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9"/>
      <c r="C414" s="45"/>
      <c r="D414" s="45"/>
      <c r="E414" s="56"/>
      <c r="F414" s="49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9"/>
      <c r="C415" s="45"/>
      <c r="D415" s="45"/>
      <c r="E415" s="56"/>
      <c r="F415" s="49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9"/>
      <c r="C416" s="45"/>
      <c r="D416" s="45"/>
      <c r="E416" s="56"/>
      <c r="F416" s="49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9"/>
      <c r="C417" s="45"/>
      <c r="D417" s="45"/>
      <c r="E417" s="56"/>
      <c r="F417" s="49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9"/>
      <c r="C418" s="45"/>
      <c r="D418" s="45"/>
      <c r="E418" s="56"/>
      <c r="F418" s="49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9"/>
      <c r="C419" s="45"/>
      <c r="D419" s="45"/>
      <c r="E419" s="56"/>
      <c r="F419" s="49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9"/>
      <c r="C420" s="45"/>
      <c r="D420" s="45"/>
      <c r="E420" s="56"/>
      <c r="F420" s="49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9"/>
      <c r="C421" s="45"/>
      <c r="D421" s="45"/>
      <c r="E421" s="56"/>
      <c r="F421" s="49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9"/>
      <c r="C422" s="45"/>
      <c r="D422" s="45"/>
      <c r="E422" s="56"/>
      <c r="F422" s="49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9"/>
      <c r="C423" s="45"/>
      <c r="D423" s="45"/>
      <c r="E423" s="56"/>
      <c r="F423" s="49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9"/>
      <c r="C424" s="45"/>
      <c r="D424" s="45"/>
      <c r="E424" s="56"/>
      <c r="F424" s="49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9"/>
      <c r="C425" s="45"/>
      <c r="D425" s="45"/>
      <c r="E425" s="56"/>
      <c r="F425" s="49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9"/>
      <c r="C426" s="45"/>
      <c r="D426" s="45"/>
      <c r="E426" s="56"/>
      <c r="F426" s="49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9"/>
      <c r="C427" s="45"/>
      <c r="D427" s="45"/>
      <c r="E427" s="56"/>
      <c r="F427" s="49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9"/>
      <c r="C428" s="45"/>
      <c r="D428" s="45"/>
      <c r="E428" s="56"/>
      <c r="F428" s="49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9"/>
      <c r="C429" s="45"/>
      <c r="D429" s="45"/>
      <c r="E429" s="56"/>
      <c r="F429" s="49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9"/>
      <c r="C430" s="45"/>
      <c r="D430" s="45"/>
      <c r="E430" s="56"/>
      <c r="F430" s="49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9"/>
      <c r="C431" s="45"/>
      <c r="D431" s="45"/>
      <c r="E431" s="56"/>
      <c r="F431" s="49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9"/>
      <c r="C432" s="45"/>
      <c r="D432" s="45"/>
      <c r="E432" s="56"/>
      <c r="F432" s="49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9"/>
      <c r="C433" s="45"/>
      <c r="D433" s="45"/>
      <c r="E433" s="56"/>
      <c r="F433" s="49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9"/>
      <c r="C434" s="45"/>
      <c r="D434" s="45"/>
      <c r="E434" s="56"/>
      <c r="F434" s="49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9"/>
      <c r="C435" s="45"/>
      <c r="D435" s="45"/>
      <c r="E435" s="56"/>
      <c r="F435" s="49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9"/>
      <c r="C436" s="45"/>
      <c r="D436" s="45"/>
      <c r="E436" s="56"/>
      <c r="F436" s="49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9"/>
      <c r="C437" s="45"/>
      <c r="D437" s="45"/>
      <c r="E437" s="56"/>
      <c r="F437" s="49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9"/>
      <c r="C438" s="45"/>
      <c r="D438" s="45"/>
      <c r="E438" s="56"/>
      <c r="F438" s="49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9"/>
      <c r="C439" s="45"/>
      <c r="D439" s="45"/>
      <c r="E439" s="56"/>
      <c r="F439" s="49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9"/>
      <c r="C440" s="45"/>
      <c r="D440" s="45"/>
      <c r="E440" s="56"/>
      <c r="F440" s="49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9"/>
      <c r="C441" s="45"/>
      <c r="D441" s="45"/>
      <c r="E441" s="56"/>
      <c r="F441" s="49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9"/>
      <c r="C442" s="45"/>
      <c r="D442" s="45"/>
      <c r="E442" s="56"/>
      <c r="F442" s="49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9"/>
      <c r="C443" s="45"/>
      <c r="D443" s="45"/>
      <c r="E443" s="56"/>
      <c r="F443" s="49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9"/>
      <c r="C444" s="45"/>
      <c r="D444" s="45"/>
      <c r="E444" s="56"/>
      <c r="F444" s="49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9"/>
      <c r="C445" s="45"/>
      <c r="D445" s="45"/>
      <c r="E445" s="56"/>
      <c r="F445" s="49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9"/>
      <c r="C446" s="45"/>
      <c r="D446" s="45"/>
      <c r="E446" s="56"/>
      <c r="F446" s="49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9"/>
      <c r="C447" s="45"/>
      <c r="D447" s="45"/>
      <c r="E447" s="56"/>
      <c r="F447" s="49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9"/>
      <c r="C448" s="45"/>
      <c r="D448" s="45"/>
      <c r="E448" s="56"/>
      <c r="F448" s="49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9"/>
      <c r="C449" s="45"/>
      <c r="D449" s="45"/>
      <c r="E449" s="56"/>
      <c r="F449" s="49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9"/>
      <c r="C450" s="45"/>
      <c r="D450" s="45"/>
      <c r="E450" s="56"/>
      <c r="F450" s="49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9"/>
      <c r="C451" s="45"/>
      <c r="D451" s="45"/>
      <c r="E451" s="56"/>
      <c r="F451" s="49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9"/>
      <c r="C452" s="45"/>
      <c r="D452" s="45"/>
      <c r="E452" s="56"/>
      <c r="F452" s="49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9"/>
      <c r="C453" s="45"/>
      <c r="D453" s="45"/>
      <c r="E453" s="56"/>
      <c r="F453" s="49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9"/>
      <c r="C454" s="45"/>
      <c r="D454" s="45"/>
      <c r="E454" s="56"/>
      <c r="F454" s="49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9"/>
      <c r="C455" s="45"/>
      <c r="D455" s="45"/>
      <c r="E455" s="56"/>
      <c r="F455" s="49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9"/>
      <c r="C456" s="45"/>
      <c r="D456" s="45"/>
      <c r="E456" s="56"/>
      <c r="F456" s="49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9"/>
      <c r="C457" s="45"/>
      <c r="D457" s="45"/>
      <c r="E457" s="56"/>
      <c r="F457" s="49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9"/>
      <c r="C458" s="45"/>
      <c r="D458" s="45"/>
      <c r="E458" s="56"/>
      <c r="F458" s="49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9"/>
      <c r="C459" s="45"/>
      <c r="D459" s="45"/>
      <c r="E459" s="56"/>
      <c r="F459" s="49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9"/>
      <c r="C460" s="45"/>
      <c r="D460" s="45"/>
      <c r="E460" s="56"/>
      <c r="F460" s="49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9"/>
      <c r="C461" s="45"/>
      <c r="D461" s="45"/>
      <c r="E461" s="56"/>
      <c r="F461" s="49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9"/>
      <c r="C462" s="45"/>
      <c r="D462" s="45"/>
      <c r="E462" s="56"/>
      <c r="F462" s="49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9"/>
      <c r="C463" s="45"/>
      <c r="D463" s="45"/>
      <c r="E463" s="56"/>
      <c r="F463" s="49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9"/>
      <c r="C464" s="45"/>
      <c r="D464" s="45"/>
      <c r="E464" s="56"/>
      <c r="F464" s="49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9"/>
      <c r="C465" s="45"/>
      <c r="D465" s="45"/>
      <c r="E465" s="56"/>
      <c r="F465" s="49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9"/>
      <c r="C466" s="45"/>
      <c r="D466" s="45"/>
      <c r="E466" s="56"/>
      <c r="F466" s="49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9"/>
      <c r="C467" s="45"/>
      <c r="D467" s="45"/>
      <c r="E467" s="56"/>
      <c r="F467" s="49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9"/>
      <c r="C468" s="45"/>
      <c r="D468" s="45"/>
      <c r="E468" s="56"/>
      <c r="F468" s="49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9"/>
      <c r="C469" s="45"/>
      <c r="D469" s="45"/>
      <c r="E469" s="56"/>
      <c r="F469" s="49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9"/>
      <c r="C470" s="45"/>
      <c r="D470" s="45"/>
      <c r="E470" s="56"/>
      <c r="F470" s="49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9"/>
      <c r="C471" s="45"/>
      <c r="D471" s="45"/>
      <c r="E471" s="56"/>
      <c r="F471" s="49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9"/>
      <c r="C472" s="45"/>
      <c r="D472" s="45"/>
      <c r="E472" s="56"/>
      <c r="F472" s="49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9"/>
      <c r="C473" s="45"/>
      <c r="D473" s="45"/>
      <c r="E473" s="56"/>
      <c r="F473" s="49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9"/>
      <c r="C474" s="45"/>
      <c r="D474" s="45"/>
      <c r="E474" s="56"/>
      <c r="F474" s="49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9"/>
      <c r="C475" s="45"/>
      <c r="D475" s="45"/>
      <c r="E475" s="56"/>
      <c r="F475" s="49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9"/>
      <c r="C476" s="45"/>
      <c r="D476" s="45"/>
      <c r="E476" s="56"/>
      <c r="F476" s="49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9"/>
      <c r="C477" s="45"/>
      <c r="D477" s="45"/>
      <c r="E477" s="56"/>
      <c r="F477" s="49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9"/>
      <c r="C478" s="45"/>
      <c r="D478" s="45"/>
      <c r="E478" s="56"/>
      <c r="F478" s="49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9"/>
      <c r="C479" s="45"/>
      <c r="D479" s="45"/>
      <c r="E479" s="56"/>
      <c r="F479" s="49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9"/>
      <c r="C480" s="45"/>
      <c r="D480" s="45"/>
      <c r="E480" s="56"/>
      <c r="F480" s="49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9"/>
      <c r="C481" s="45"/>
      <c r="D481" s="45"/>
      <c r="E481" s="56"/>
      <c r="F481" s="49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9"/>
      <c r="C482" s="45"/>
      <c r="D482" s="45"/>
      <c r="E482" s="56"/>
      <c r="F482" s="49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9"/>
      <c r="C483" s="45"/>
      <c r="D483" s="45"/>
      <c r="E483" s="56"/>
      <c r="F483" s="49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9"/>
      <c r="C484" s="45"/>
      <c r="D484" s="45"/>
      <c r="E484" s="56"/>
      <c r="F484" s="49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9"/>
      <c r="C485" s="45"/>
      <c r="D485" s="45"/>
      <c r="E485" s="56"/>
      <c r="F485" s="49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9"/>
      <c r="C486" s="45"/>
      <c r="D486" s="45"/>
      <c r="E486" s="56"/>
      <c r="F486" s="49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9"/>
      <c r="C487" s="45"/>
      <c r="D487" s="45"/>
      <c r="E487" s="56"/>
      <c r="F487" s="49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9"/>
      <c r="C488" s="45"/>
      <c r="D488" s="45"/>
      <c r="E488" s="56"/>
      <c r="F488" s="49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9"/>
      <c r="C489" s="45"/>
      <c r="D489" s="45"/>
      <c r="E489" s="56"/>
      <c r="F489" s="49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9"/>
      <c r="C490" s="45"/>
      <c r="D490" s="45"/>
      <c r="E490" s="56"/>
      <c r="F490" s="49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9"/>
      <c r="C491" s="45"/>
      <c r="D491" s="45"/>
      <c r="E491" s="56"/>
      <c r="F491" s="49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9"/>
      <c r="C492" s="45"/>
      <c r="D492" s="45"/>
      <c r="E492" s="56"/>
      <c r="F492" s="49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9"/>
      <c r="C493" s="45"/>
      <c r="D493" s="45"/>
      <c r="E493" s="56"/>
      <c r="F493" s="49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9"/>
      <c r="C494" s="45"/>
      <c r="D494" s="45"/>
      <c r="E494" s="56"/>
      <c r="F494" s="49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9"/>
      <c r="C495" s="45"/>
      <c r="D495" s="45"/>
      <c r="E495" s="56"/>
      <c r="F495" s="49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9"/>
      <c r="C496" s="45"/>
      <c r="D496" s="45"/>
      <c r="E496" s="56"/>
      <c r="F496" s="49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9"/>
      <c r="C497" s="45"/>
      <c r="D497" s="45"/>
      <c r="E497" s="56"/>
      <c r="F497" s="49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9"/>
      <c r="C498" s="45"/>
      <c r="D498" s="45"/>
      <c r="E498" s="56"/>
      <c r="F498" s="49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9"/>
      <c r="C499" s="45"/>
      <c r="D499" s="45"/>
      <c r="E499" s="56"/>
      <c r="F499" s="49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9"/>
      <c r="C500" s="45"/>
      <c r="D500" s="45"/>
      <c r="E500" s="56"/>
      <c r="F500" s="49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9"/>
      <c r="C501" s="45"/>
      <c r="D501" s="45"/>
      <c r="E501" s="56"/>
      <c r="F501" s="49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9"/>
      <c r="C502" s="45"/>
      <c r="D502" s="45"/>
      <c r="E502" s="56"/>
      <c r="F502" s="49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9"/>
      <c r="C503" s="45"/>
      <c r="D503" s="45"/>
      <c r="E503" s="56"/>
      <c r="F503" s="49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9"/>
      <c r="C504" s="45"/>
      <c r="D504" s="45"/>
      <c r="E504" s="56"/>
      <c r="F504" s="49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9"/>
      <c r="C505" s="45"/>
      <c r="D505" s="45"/>
      <c r="E505" s="56"/>
      <c r="F505" s="49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9"/>
      <c r="C506" s="45"/>
      <c r="D506" s="45"/>
      <c r="E506" s="56"/>
      <c r="F506" s="49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9"/>
      <c r="C507" s="45"/>
      <c r="D507" s="45"/>
      <c r="E507" s="56"/>
      <c r="F507" s="49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9"/>
      <c r="C508" s="45"/>
      <c r="D508" s="45"/>
      <c r="E508" s="56"/>
      <c r="F508" s="49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9"/>
      <c r="C509" s="45"/>
      <c r="D509" s="45"/>
      <c r="E509" s="56"/>
      <c r="F509" s="49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9"/>
      <c r="C510" s="45"/>
      <c r="D510" s="45"/>
      <c r="E510" s="56"/>
      <c r="F510" s="49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9"/>
      <c r="C511" s="45"/>
      <c r="D511" s="45"/>
      <c r="E511" s="56"/>
      <c r="F511" s="49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9"/>
      <c r="C512" s="45"/>
      <c r="D512" s="45"/>
      <c r="E512" s="56"/>
      <c r="F512" s="49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9"/>
      <c r="C513" s="45"/>
      <c r="D513" s="45"/>
      <c r="E513" s="56"/>
      <c r="F513" s="49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9"/>
      <c r="C514" s="45"/>
      <c r="D514" s="45"/>
      <c r="E514" s="56"/>
      <c r="F514" s="49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9"/>
      <c r="C515" s="45"/>
      <c r="D515" s="45"/>
      <c r="E515" s="56"/>
      <c r="F515" s="49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9"/>
      <c r="C516" s="45"/>
      <c r="D516" s="45"/>
      <c r="E516" s="56"/>
      <c r="F516" s="49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9"/>
      <c r="C517" s="45"/>
      <c r="D517" s="45"/>
      <c r="E517" s="56"/>
      <c r="F517" s="49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9"/>
      <c r="C518" s="45"/>
      <c r="D518" s="45"/>
      <c r="E518" s="56"/>
      <c r="F518" s="49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9"/>
      <c r="C519" s="45"/>
      <c r="D519" s="45"/>
      <c r="E519" s="56"/>
      <c r="F519" s="49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9"/>
      <c r="C520" s="45"/>
      <c r="D520" s="45"/>
      <c r="E520" s="56"/>
      <c r="F520" s="49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9"/>
      <c r="C521" s="45"/>
      <c r="D521" s="45"/>
      <c r="E521" s="56"/>
      <c r="F521" s="49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9"/>
      <c r="C522" s="45"/>
      <c r="D522" s="45"/>
      <c r="E522" s="56"/>
      <c r="F522" s="49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9"/>
      <c r="C523" s="45"/>
      <c r="D523" s="45"/>
      <c r="E523" s="56"/>
      <c r="F523" s="49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9"/>
      <c r="C524" s="45"/>
      <c r="D524" s="45"/>
      <c r="E524" s="56"/>
      <c r="F524" s="49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9"/>
      <c r="C525" s="45"/>
      <c r="D525" s="45"/>
      <c r="E525" s="56"/>
      <c r="F525" s="49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9"/>
      <c r="C526" s="45"/>
      <c r="D526" s="45"/>
      <c r="E526" s="56"/>
      <c r="F526" s="49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9"/>
      <c r="C527" s="45"/>
      <c r="D527" s="45"/>
      <c r="E527" s="56"/>
      <c r="F527" s="49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9"/>
      <c r="C528" s="45"/>
      <c r="D528" s="45"/>
      <c r="E528" s="56"/>
      <c r="F528" s="49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9"/>
      <c r="C529" s="45"/>
      <c r="D529" s="45"/>
      <c r="E529" s="56"/>
      <c r="F529" s="49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9"/>
      <c r="C530" s="45"/>
      <c r="D530" s="45"/>
      <c r="E530" s="56"/>
      <c r="F530" s="49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9"/>
      <c r="C531" s="45"/>
      <c r="D531" s="45"/>
      <c r="E531" s="56"/>
      <c r="F531" s="49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9"/>
      <c r="C532" s="45"/>
      <c r="D532" s="45"/>
      <c r="E532" s="56"/>
      <c r="F532" s="49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9"/>
      <c r="C533" s="45"/>
      <c r="D533" s="45"/>
      <c r="E533" s="56"/>
      <c r="F533" s="49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9"/>
      <c r="C534" s="45"/>
      <c r="D534" s="45"/>
      <c r="E534" s="56"/>
      <c r="F534" s="49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9"/>
      <c r="C535" s="45"/>
      <c r="D535" s="45"/>
      <c r="E535" s="56"/>
      <c r="F535" s="49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9"/>
      <c r="C536" s="45"/>
      <c r="D536" s="45"/>
      <c r="E536" s="56"/>
      <c r="F536" s="49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9"/>
      <c r="C537" s="45"/>
      <c r="D537" s="45"/>
      <c r="E537" s="56"/>
      <c r="F537" s="49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9"/>
      <c r="C538" s="45"/>
      <c r="D538" s="45"/>
      <c r="E538" s="56"/>
      <c r="F538" s="49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9"/>
      <c r="C539" s="45"/>
      <c r="D539" s="45"/>
      <c r="E539" s="56"/>
      <c r="F539" s="49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9"/>
      <c r="C540" s="45"/>
      <c r="D540" s="45"/>
      <c r="E540" s="56"/>
      <c r="F540" s="49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9"/>
      <c r="C541" s="45"/>
      <c r="D541" s="45"/>
      <c r="E541" s="56"/>
      <c r="F541" s="49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9"/>
      <c r="C542" s="45"/>
      <c r="D542" s="45"/>
      <c r="E542" s="56"/>
      <c r="F542" s="49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9"/>
      <c r="C543" s="45"/>
      <c r="D543" s="45"/>
      <c r="E543" s="56"/>
      <c r="F543" s="49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9"/>
      <c r="C544" s="45"/>
      <c r="D544" s="45"/>
      <c r="E544" s="56"/>
      <c r="F544" s="49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9"/>
      <c r="C545" s="45"/>
      <c r="D545" s="45"/>
      <c r="E545" s="56"/>
      <c r="F545" s="49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9"/>
      <c r="C546" s="45"/>
      <c r="D546" s="45"/>
      <c r="E546" s="56"/>
      <c r="F546" s="49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9"/>
      <c r="C547" s="45"/>
      <c r="D547" s="45"/>
      <c r="E547" s="56"/>
      <c r="F547" s="49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9"/>
      <c r="C548" s="45"/>
      <c r="D548" s="45"/>
      <c r="E548" s="56"/>
      <c r="F548" s="49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9"/>
      <c r="C549" s="45"/>
      <c r="D549" s="45"/>
      <c r="E549" s="56"/>
      <c r="F549" s="49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9"/>
      <c r="C550" s="45"/>
      <c r="D550" s="45"/>
      <c r="E550" s="56"/>
      <c r="F550" s="49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9"/>
      <c r="C551" s="45"/>
      <c r="D551" s="45"/>
      <c r="E551" s="56"/>
      <c r="F551" s="49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9"/>
      <c r="C552" s="45"/>
      <c r="D552" s="45"/>
      <c r="E552" s="56"/>
      <c r="F552" s="49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9"/>
      <c r="C553" s="45"/>
      <c r="D553" s="45"/>
      <c r="E553" s="56"/>
      <c r="F553" s="49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9"/>
      <c r="C554" s="45"/>
      <c r="D554" s="45"/>
      <c r="E554" s="56"/>
      <c r="F554" s="49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9"/>
      <c r="C555" s="45"/>
      <c r="D555" s="45"/>
      <c r="E555" s="56"/>
      <c r="F555" s="49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9"/>
      <c r="C556" s="45"/>
      <c r="D556" s="45"/>
      <c r="E556" s="56"/>
      <c r="F556" s="49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9"/>
      <c r="C557" s="45"/>
      <c r="D557" s="45"/>
      <c r="E557" s="56"/>
      <c r="F557" s="49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9"/>
      <c r="C558" s="45"/>
      <c r="D558" s="45"/>
      <c r="E558" s="56"/>
      <c r="F558" s="49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9"/>
      <c r="C559" s="45"/>
      <c r="D559" s="45"/>
      <c r="E559" s="56"/>
      <c r="F559" s="49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9"/>
      <c r="C560" s="45"/>
      <c r="D560" s="45"/>
      <c r="E560" s="56"/>
      <c r="F560" s="49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9"/>
      <c r="C561" s="45"/>
      <c r="D561" s="45"/>
      <c r="E561" s="56"/>
      <c r="F561" s="49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9"/>
      <c r="C562" s="45"/>
      <c r="D562" s="45"/>
      <c r="E562" s="56"/>
      <c r="F562" s="49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9"/>
      <c r="C563" s="45"/>
      <c r="D563" s="45"/>
      <c r="E563" s="56"/>
      <c r="F563" s="49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9"/>
      <c r="C564" s="45"/>
      <c r="D564" s="45"/>
      <c r="E564" s="56"/>
      <c r="F564" s="49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9"/>
      <c r="C565" s="45"/>
      <c r="D565" s="45"/>
      <c r="E565" s="56"/>
      <c r="F565" s="49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9"/>
      <c r="C566" s="45"/>
      <c r="D566" s="45"/>
      <c r="E566" s="56"/>
      <c r="F566" s="49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9"/>
      <c r="C567" s="45"/>
      <c r="D567" s="45"/>
      <c r="E567" s="56"/>
      <c r="F567" s="49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9"/>
      <c r="C568" s="45"/>
      <c r="D568" s="45"/>
      <c r="E568" s="56"/>
      <c r="F568" s="49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9"/>
      <c r="C569" s="45"/>
      <c r="D569" s="45"/>
      <c r="E569" s="56"/>
      <c r="F569" s="49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9"/>
      <c r="C570" s="45"/>
      <c r="D570" s="45"/>
      <c r="E570" s="56"/>
      <c r="F570" s="49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9"/>
      <c r="C571" s="45"/>
      <c r="D571" s="45"/>
      <c r="E571" s="56"/>
      <c r="F571" s="49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9"/>
      <c r="C572" s="45"/>
      <c r="D572" s="45"/>
      <c r="E572" s="56"/>
      <c r="F572" s="49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9"/>
      <c r="C573" s="45"/>
      <c r="D573" s="45"/>
      <c r="E573" s="56"/>
      <c r="F573" s="49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9"/>
      <c r="C574" s="45"/>
      <c r="D574" s="45"/>
      <c r="E574" s="56"/>
      <c r="F574" s="49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9"/>
      <c r="C575" s="45"/>
      <c r="D575" s="45"/>
      <c r="E575" s="56"/>
      <c r="F575" s="49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9"/>
      <c r="C576" s="45"/>
      <c r="D576" s="45"/>
      <c r="E576" s="56"/>
      <c r="F576" s="49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9"/>
      <c r="C577" s="45"/>
      <c r="D577" s="45"/>
      <c r="E577" s="56"/>
      <c r="F577" s="49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9"/>
      <c r="C578" s="45"/>
      <c r="D578" s="45"/>
      <c r="E578" s="56"/>
      <c r="F578" s="49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9"/>
      <c r="C579" s="45"/>
      <c r="D579" s="45"/>
      <c r="E579" s="56"/>
      <c r="F579" s="49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9"/>
      <c r="C580" s="45"/>
      <c r="D580" s="45"/>
      <c r="E580" s="56"/>
      <c r="F580" s="49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9"/>
      <c r="C581" s="45"/>
      <c r="D581" s="45"/>
      <c r="E581" s="56"/>
      <c r="F581" s="49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9"/>
      <c r="C582" s="45"/>
      <c r="D582" s="45"/>
      <c r="E582" s="56"/>
      <c r="F582" s="49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9"/>
      <c r="C583" s="45"/>
      <c r="D583" s="45"/>
      <c r="E583" s="56"/>
      <c r="F583" s="49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9"/>
      <c r="C584" s="45"/>
      <c r="D584" s="45"/>
      <c r="E584" s="56"/>
      <c r="F584" s="49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9"/>
      <c r="C585" s="45"/>
      <c r="D585" s="45"/>
      <c r="E585" s="56"/>
      <c r="F585" s="49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9"/>
      <c r="C586" s="45"/>
      <c r="D586" s="45"/>
      <c r="E586" s="56"/>
      <c r="F586" s="49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9"/>
      <c r="C587" s="45"/>
      <c r="D587" s="45"/>
      <c r="E587" s="56"/>
      <c r="F587" s="49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9"/>
      <c r="C588" s="45"/>
      <c r="D588" s="45"/>
      <c r="E588" s="56"/>
      <c r="F588" s="49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9"/>
      <c r="C589" s="45"/>
      <c r="D589" s="45"/>
      <c r="E589" s="56"/>
      <c r="F589" s="49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9"/>
      <c r="C590" s="45"/>
      <c r="D590" s="45"/>
      <c r="E590" s="56"/>
      <c r="F590" s="49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9"/>
      <c r="C591" s="45"/>
      <c r="D591" s="45"/>
      <c r="E591" s="56"/>
      <c r="F591" s="49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9"/>
      <c r="C592" s="45"/>
      <c r="D592" s="45"/>
      <c r="E592" s="56"/>
      <c r="F592" s="49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9"/>
      <c r="C593" s="45"/>
      <c r="D593" s="45"/>
      <c r="E593" s="56"/>
      <c r="F593" s="49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9"/>
      <c r="C594" s="45"/>
      <c r="D594" s="45"/>
      <c r="E594" s="56"/>
      <c r="F594" s="49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9"/>
      <c r="C595" s="45"/>
      <c r="D595" s="45"/>
      <c r="E595" s="56"/>
      <c r="F595" s="49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9"/>
      <c r="C596" s="45"/>
      <c r="D596" s="45"/>
      <c r="E596" s="56"/>
      <c r="F596" s="49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9"/>
      <c r="C597" s="45"/>
      <c r="D597" s="45"/>
      <c r="E597" s="56"/>
      <c r="F597" s="49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9"/>
      <c r="C598" s="45"/>
      <c r="D598" s="45"/>
      <c r="E598" s="56"/>
      <c r="F598" s="49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9"/>
      <c r="C599" s="45"/>
      <c r="D599" s="45"/>
      <c r="E599" s="56"/>
      <c r="F599" s="49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9"/>
      <c r="C600" s="45"/>
      <c r="D600" s="45"/>
      <c r="E600" s="56"/>
      <c r="F600" s="49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9"/>
      <c r="C601" s="45"/>
      <c r="D601" s="45"/>
      <c r="E601" s="56"/>
      <c r="F601" s="49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9"/>
      <c r="C602" s="45"/>
      <c r="D602" s="45"/>
      <c r="E602" s="56"/>
      <c r="F602" s="49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9"/>
      <c r="C603" s="45"/>
      <c r="D603" s="45"/>
      <c r="E603" s="56"/>
      <c r="F603" s="49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9"/>
      <c r="C604" s="45"/>
      <c r="D604" s="45"/>
      <c r="E604" s="56"/>
      <c r="F604" s="49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9"/>
      <c r="C605" s="45"/>
      <c r="D605" s="45"/>
      <c r="E605" s="56"/>
      <c r="F605" s="49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9"/>
      <c r="C606" s="45"/>
      <c r="D606" s="45"/>
      <c r="E606" s="56"/>
      <c r="F606" s="49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9"/>
      <c r="C607" s="45"/>
      <c r="D607" s="45"/>
      <c r="E607" s="56"/>
      <c r="F607" s="49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9"/>
      <c r="C608" s="45"/>
      <c r="D608" s="45"/>
      <c r="E608" s="56"/>
      <c r="F608" s="49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9"/>
      <c r="C609" s="45"/>
      <c r="D609" s="45"/>
      <c r="E609" s="56"/>
      <c r="F609" s="49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9"/>
      <c r="C610" s="45"/>
      <c r="D610" s="45"/>
      <c r="E610" s="56"/>
      <c r="F610" s="49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9"/>
      <c r="C611" s="45"/>
      <c r="D611" s="45"/>
      <c r="E611" s="56"/>
      <c r="F611" s="49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9"/>
      <c r="C612" s="45"/>
      <c r="D612" s="45"/>
      <c r="E612" s="56"/>
      <c r="F612" s="49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9"/>
      <c r="C613" s="45"/>
      <c r="D613" s="45"/>
      <c r="E613" s="56"/>
      <c r="F613" s="49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9"/>
      <c r="C614" s="45"/>
      <c r="D614" s="45"/>
      <c r="E614" s="56"/>
      <c r="F614" s="49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9"/>
      <c r="C615" s="45"/>
      <c r="D615" s="45"/>
      <c r="E615" s="56"/>
      <c r="F615" s="49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9"/>
      <c r="C616" s="45"/>
      <c r="D616" s="45"/>
      <c r="E616" s="56"/>
      <c r="F616" s="49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9"/>
      <c r="C617" s="45"/>
      <c r="D617" s="45"/>
      <c r="E617" s="56"/>
      <c r="F617" s="49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9"/>
      <c r="C618" s="45"/>
      <c r="D618" s="45"/>
      <c r="E618" s="56"/>
      <c r="F618" s="49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9"/>
      <c r="C619" s="45"/>
      <c r="D619" s="45"/>
      <c r="E619" s="56"/>
      <c r="F619" s="49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9"/>
      <c r="C620" s="45"/>
      <c r="D620" s="45"/>
      <c r="E620" s="56"/>
      <c r="F620" s="49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9"/>
      <c r="C621" s="45"/>
      <c r="D621" s="45"/>
      <c r="E621" s="56"/>
      <c r="F621" s="49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9"/>
      <c r="C622" s="45"/>
      <c r="D622" s="45"/>
      <c r="E622" s="56"/>
      <c r="F622" s="49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9"/>
      <c r="C623" s="45"/>
      <c r="D623" s="45"/>
      <c r="E623" s="56"/>
      <c r="F623" s="49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9"/>
      <c r="C624" s="45"/>
      <c r="D624" s="45"/>
      <c r="E624" s="56"/>
      <c r="F624" s="49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9"/>
      <c r="C625" s="45"/>
      <c r="D625" s="45"/>
      <c r="E625" s="56"/>
      <c r="F625" s="49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9"/>
      <c r="C626" s="45"/>
      <c r="D626" s="45"/>
      <c r="E626" s="56"/>
      <c r="F626" s="49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9"/>
      <c r="C627" s="45"/>
      <c r="D627" s="45"/>
      <c r="E627" s="56"/>
      <c r="F627" s="49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9"/>
      <c r="C628" s="45"/>
      <c r="D628" s="45"/>
      <c r="E628" s="56"/>
      <c r="F628" s="49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9"/>
      <c r="C629" s="45"/>
      <c r="D629" s="45"/>
      <c r="E629" s="56"/>
      <c r="F629" s="49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9"/>
      <c r="C630" s="45"/>
      <c r="D630" s="45"/>
      <c r="E630" s="56"/>
      <c r="F630" s="49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9"/>
      <c r="C631" s="45"/>
      <c r="D631" s="45"/>
      <c r="E631" s="56"/>
      <c r="F631" s="49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9"/>
      <c r="C632" s="45"/>
      <c r="D632" s="45"/>
      <c r="E632" s="56"/>
      <c r="F632" s="49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9"/>
      <c r="C633" s="45"/>
      <c r="D633" s="45"/>
      <c r="E633" s="56"/>
      <c r="F633" s="49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9"/>
      <c r="C634" s="45"/>
      <c r="D634" s="45"/>
      <c r="E634" s="56"/>
      <c r="F634" s="49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9"/>
      <c r="C635" s="45"/>
      <c r="D635" s="45"/>
      <c r="E635" s="56"/>
      <c r="F635" s="49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9"/>
      <c r="C636" s="45"/>
      <c r="D636" s="45"/>
      <c r="E636" s="56"/>
      <c r="F636" s="49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9"/>
      <c r="C637" s="45"/>
      <c r="D637" s="45"/>
      <c r="E637" s="56"/>
      <c r="F637" s="49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9"/>
      <c r="C638" s="45"/>
      <c r="D638" s="45"/>
      <c r="E638" s="56"/>
      <c r="F638" s="49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9"/>
      <c r="C639" s="45"/>
      <c r="D639" s="45"/>
      <c r="E639" s="56"/>
      <c r="F639" s="49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9"/>
      <c r="C640" s="45"/>
      <c r="D640" s="45"/>
      <c r="E640" s="56"/>
      <c r="F640" s="49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9"/>
      <c r="C641" s="45"/>
      <c r="D641" s="45"/>
      <c r="E641" s="56"/>
      <c r="F641" s="49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9"/>
      <c r="C642" s="45"/>
      <c r="D642" s="45"/>
      <c r="E642" s="56"/>
      <c r="F642" s="49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9"/>
      <c r="C643" s="45"/>
      <c r="D643" s="45"/>
      <c r="E643" s="56"/>
      <c r="F643" s="49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9"/>
      <c r="C644" s="45"/>
      <c r="D644" s="45"/>
      <c r="E644" s="56"/>
      <c r="F644" s="49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9"/>
      <c r="C645" s="45"/>
      <c r="D645" s="45"/>
      <c r="E645" s="56"/>
      <c r="F645" s="49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9"/>
      <c r="C646" s="45"/>
      <c r="D646" s="45"/>
      <c r="E646" s="56"/>
      <c r="F646" s="49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9"/>
      <c r="C647" s="45"/>
      <c r="D647" s="45"/>
      <c r="E647" s="56"/>
      <c r="F647" s="49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9"/>
      <c r="C648" s="45"/>
      <c r="D648" s="45"/>
      <c r="E648" s="56"/>
      <c r="F648" s="49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9"/>
      <c r="C649" s="45"/>
      <c r="D649" s="45"/>
      <c r="E649" s="56"/>
      <c r="F649" s="49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9"/>
      <c r="C650" s="45"/>
      <c r="D650" s="45"/>
      <c r="E650" s="56"/>
      <c r="F650" s="49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9"/>
      <c r="C651" s="45"/>
      <c r="D651" s="45"/>
      <c r="E651" s="56"/>
      <c r="F651" s="49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9"/>
      <c r="C652" s="45"/>
      <c r="D652" s="45"/>
      <c r="E652" s="56"/>
      <c r="F652" s="49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9"/>
      <c r="C653" s="45"/>
      <c r="D653" s="45"/>
      <c r="E653" s="56"/>
      <c r="F653" s="49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9"/>
      <c r="C654" s="45"/>
      <c r="D654" s="45"/>
      <c r="E654" s="56"/>
      <c r="F654" s="49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9"/>
      <c r="C655" s="45"/>
      <c r="D655" s="45"/>
      <c r="E655" s="56"/>
      <c r="F655" s="49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9"/>
      <c r="C656" s="45"/>
      <c r="D656" s="45"/>
      <c r="E656" s="56"/>
      <c r="F656" s="49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9"/>
      <c r="C657" s="45"/>
      <c r="D657" s="45"/>
      <c r="E657" s="56"/>
      <c r="F657" s="49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9"/>
      <c r="C658" s="45"/>
      <c r="D658" s="45"/>
      <c r="E658" s="56"/>
      <c r="F658" s="49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9"/>
      <c r="C659" s="45"/>
      <c r="D659" s="45"/>
      <c r="E659" s="56"/>
      <c r="F659" s="49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9"/>
      <c r="C660" s="45"/>
      <c r="D660" s="45"/>
      <c r="E660" s="56"/>
      <c r="F660" s="49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9"/>
      <c r="C661" s="45"/>
      <c r="D661" s="45"/>
      <c r="E661" s="56"/>
      <c r="F661" s="49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9"/>
      <c r="C662" s="45"/>
      <c r="D662" s="45"/>
      <c r="E662" s="56"/>
      <c r="F662" s="49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9"/>
      <c r="C663" s="45"/>
      <c r="D663" s="45"/>
      <c r="E663" s="56"/>
      <c r="F663" s="49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9"/>
      <c r="C664" s="45"/>
      <c r="D664" s="45"/>
      <c r="E664" s="56"/>
      <c r="F664" s="49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9"/>
      <c r="C665" s="45"/>
      <c r="D665" s="45"/>
      <c r="E665" s="56"/>
      <c r="F665" s="49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9"/>
      <c r="C666" s="45"/>
      <c r="D666" s="45"/>
      <c r="E666" s="56"/>
      <c r="F666" s="49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9"/>
      <c r="C667" s="45"/>
      <c r="D667" s="45"/>
      <c r="E667" s="56"/>
      <c r="F667" s="49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9"/>
      <c r="C668" s="45"/>
      <c r="D668" s="45"/>
      <c r="E668" s="56"/>
      <c r="F668" s="49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9"/>
      <c r="C669" s="45"/>
      <c r="D669" s="45"/>
      <c r="E669" s="56"/>
      <c r="F669" s="49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9"/>
      <c r="C670" s="45"/>
      <c r="D670" s="45"/>
      <c r="E670" s="56"/>
      <c r="F670" s="49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9"/>
      <c r="C671" s="45"/>
      <c r="D671" s="45"/>
      <c r="E671" s="56"/>
      <c r="F671" s="49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9"/>
      <c r="C672" s="45"/>
      <c r="D672" s="45"/>
      <c r="E672" s="56"/>
      <c r="F672" s="49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9"/>
      <c r="C673" s="45"/>
      <c r="D673" s="45"/>
      <c r="E673" s="56"/>
      <c r="F673" s="49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9"/>
      <c r="C674" s="45"/>
      <c r="D674" s="45"/>
      <c r="E674" s="56"/>
      <c r="F674" s="49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9"/>
      <c r="C675" s="45"/>
      <c r="D675" s="45"/>
      <c r="E675" s="56"/>
      <c r="F675" s="49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9"/>
      <c r="C676" s="45"/>
      <c r="D676" s="45"/>
      <c r="E676" s="56"/>
      <c r="F676" s="49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9"/>
      <c r="C677" s="45"/>
      <c r="D677" s="45"/>
      <c r="E677" s="56"/>
      <c r="F677" s="49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9"/>
      <c r="C678" s="45"/>
      <c r="D678" s="45"/>
      <c r="E678" s="56"/>
      <c r="F678" s="49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9"/>
      <c r="C679" s="45"/>
      <c r="D679" s="45"/>
      <c r="E679" s="56"/>
      <c r="F679" s="49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9"/>
      <c r="C680" s="45"/>
      <c r="D680" s="45"/>
      <c r="E680" s="56"/>
      <c r="F680" s="49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9"/>
      <c r="C681" s="45"/>
      <c r="D681" s="45"/>
      <c r="E681" s="56"/>
      <c r="F681" s="49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9"/>
      <c r="C682" s="45"/>
      <c r="D682" s="45"/>
      <c r="E682" s="56"/>
      <c r="F682" s="49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9"/>
      <c r="C683" s="45"/>
      <c r="D683" s="45"/>
      <c r="E683" s="56"/>
      <c r="F683" s="49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9"/>
      <c r="C684" s="45"/>
      <c r="D684" s="45"/>
      <c r="E684" s="56"/>
      <c r="F684" s="49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9"/>
      <c r="C685" s="45"/>
      <c r="D685" s="45"/>
      <c r="E685" s="56"/>
      <c r="F685" s="49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9"/>
      <c r="C686" s="45"/>
      <c r="D686" s="45"/>
      <c r="E686" s="56"/>
      <c r="F686" s="49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9"/>
      <c r="C687" s="45"/>
      <c r="D687" s="45"/>
      <c r="E687" s="56"/>
      <c r="F687" s="49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9"/>
      <c r="C688" s="45"/>
      <c r="D688" s="45"/>
      <c r="E688" s="56"/>
      <c r="F688" s="49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9"/>
      <c r="C689" s="45"/>
      <c r="D689" s="45"/>
      <c r="E689" s="56"/>
      <c r="F689" s="49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9"/>
      <c r="C690" s="45"/>
      <c r="D690" s="45"/>
      <c r="E690" s="56"/>
      <c r="F690" s="49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9"/>
      <c r="C691" s="45"/>
      <c r="D691" s="45"/>
      <c r="E691" s="56"/>
      <c r="F691" s="49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9"/>
      <c r="C692" s="45"/>
      <c r="D692" s="45"/>
      <c r="E692" s="56"/>
      <c r="F692" s="49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9"/>
      <c r="C693" s="45"/>
      <c r="D693" s="45"/>
      <c r="E693" s="56"/>
      <c r="F693" s="49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9"/>
      <c r="C694" s="45"/>
      <c r="D694" s="45"/>
      <c r="E694" s="56"/>
      <c r="F694" s="49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9"/>
      <c r="C695" s="45"/>
      <c r="D695" s="45"/>
      <c r="E695" s="56"/>
      <c r="F695" s="49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9"/>
      <c r="C696" s="45"/>
      <c r="D696" s="45"/>
      <c r="E696" s="56"/>
      <c r="F696" s="49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9"/>
      <c r="C697" s="45"/>
      <c r="D697" s="45"/>
      <c r="E697" s="56"/>
      <c r="F697" s="49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9"/>
      <c r="C698" s="45"/>
      <c r="D698" s="45"/>
      <c r="E698" s="56"/>
      <c r="F698" s="49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9"/>
      <c r="C699" s="45"/>
      <c r="D699" s="45"/>
      <c r="E699" s="56"/>
      <c r="F699" s="49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9"/>
      <c r="C700" s="45"/>
      <c r="D700" s="45"/>
      <c r="E700" s="56"/>
      <c r="F700" s="49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9"/>
      <c r="C701" s="45"/>
      <c r="D701" s="45"/>
      <c r="E701" s="56"/>
      <c r="F701" s="49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9"/>
      <c r="C702" s="45"/>
      <c r="D702" s="45"/>
      <c r="E702" s="56"/>
      <c r="F702" s="49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9"/>
      <c r="C703" s="45"/>
      <c r="D703" s="45"/>
      <c r="E703" s="56"/>
      <c r="F703" s="49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9"/>
      <c r="C704" s="45"/>
      <c r="D704" s="45"/>
      <c r="E704" s="56"/>
      <c r="F704" s="49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9"/>
      <c r="C705" s="45"/>
      <c r="D705" s="45"/>
      <c r="E705" s="56"/>
      <c r="F705" s="49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9"/>
      <c r="C706" s="45"/>
      <c r="D706" s="45"/>
      <c r="E706" s="56"/>
      <c r="F706" s="49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9"/>
      <c r="C707" s="45"/>
      <c r="D707" s="45"/>
      <c r="E707" s="56"/>
      <c r="F707" s="49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9"/>
      <c r="C708" s="45"/>
      <c r="D708" s="45"/>
      <c r="E708" s="56"/>
      <c r="F708" s="49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9"/>
      <c r="C709" s="45"/>
      <c r="D709" s="45"/>
      <c r="E709" s="56"/>
      <c r="F709" s="49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9"/>
      <c r="C710" s="45"/>
      <c r="D710" s="45"/>
      <c r="E710" s="56"/>
      <c r="F710" s="49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9"/>
      <c r="C711" s="45"/>
      <c r="D711" s="45"/>
      <c r="E711" s="56"/>
      <c r="F711" s="49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9"/>
      <c r="C712" s="45"/>
      <c r="D712" s="45"/>
      <c r="E712" s="56"/>
      <c r="F712" s="49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9"/>
      <c r="C713" s="45"/>
      <c r="D713" s="45"/>
      <c r="E713" s="56"/>
      <c r="F713" s="49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9"/>
      <c r="C714" s="45"/>
      <c r="D714" s="45"/>
      <c r="E714" s="56"/>
      <c r="F714" s="49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9"/>
      <c r="C715" s="45"/>
      <c r="D715" s="45"/>
      <c r="E715" s="56"/>
      <c r="F715" s="49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9"/>
      <c r="C716" s="45"/>
      <c r="D716" s="45"/>
      <c r="E716" s="56"/>
      <c r="F716" s="49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9"/>
      <c r="C717" s="45"/>
      <c r="D717" s="45"/>
      <c r="E717" s="56"/>
      <c r="F717" s="49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9"/>
      <c r="C718" s="45"/>
      <c r="D718" s="45"/>
      <c r="E718" s="56"/>
      <c r="F718" s="49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9"/>
      <c r="C719" s="45"/>
      <c r="D719" s="45"/>
      <c r="E719" s="56"/>
      <c r="F719" s="49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9"/>
      <c r="C720" s="45"/>
      <c r="D720" s="45"/>
      <c r="E720" s="56"/>
      <c r="F720" s="49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9"/>
      <c r="C721" s="45"/>
      <c r="D721" s="45"/>
      <c r="E721" s="56"/>
      <c r="F721" s="49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9"/>
      <c r="C722" s="45"/>
      <c r="D722" s="45"/>
      <c r="E722" s="56"/>
      <c r="F722" s="49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9"/>
      <c r="C723" s="45"/>
      <c r="D723" s="45"/>
      <c r="E723" s="56"/>
      <c r="F723" s="49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9"/>
      <c r="C724" s="45"/>
      <c r="D724" s="45"/>
      <c r="E724" s="56"/>
      <c r="F724" s="49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9"/>
      <c r="C725" s="45"/>
      <c r="D725" s="45"/>
      <c r="E725" s="56"/>
      <c r="F725" s="49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9"/>
      <c r="C726" s="45"/>
      <c r="D726" s="45"/>
      <c r="E726" s="56"/>
      <c r="F726" s="49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9"/>
      <c r="C727" s="45"/>
      <c r="D727" s="45"/>
      <c r="E727" s="56"/>
      <c r="F727" s="49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9"/>
      <c r="C728" s="45"/>
      <c r="D728" s="45"/>
      <c r="E728" s="56"/>
      <c r="F728" s="49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9"/>
      <c r="C729" s="45"/>
      <c r="D729" s="45"/>
      <c r="E729" s="56"/>
      <c r="F729" s="49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9"/>
      <c r="C730" s="45"/>
      <c r="D730" s="45"/>
      <c r="E730" s="56"/>
      <c r="F730" s="49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9"/>
      <c r="C731" s="45"/>
      <c r="D731" s="45"/>
      <c r="E731" s="56"/>
      <c r="F731" s="49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9"/>
      <c r="C732" s="45"/>
      <c r="D732" s="45"/>
      <c r="E732" s="56"/>
      <c r="F732" s="49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9"/>
      <c r="C733" s="45"/>
      <c r="D733" s="45"/>
      <c r="E733" s="56"/>
      <c r="F733" s="49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9"/>
      <c r="C734" s="45"/>
      <c r="D734" s="45"/>
      <c r="E734" s="56"/>
      <c r="F734" s="49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9"/>
      <c r="C735" s="45"/>
      <c r="D735" s="45"/>
      <c r="E735" s="56"/>
      <c r="F735" s="49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9"/>
      <c r="C736" s="45"/>
      <c r="D736" s="45"/>
      <c r="E736" s="56"/>
      <c r="F736" s="49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9"/>
      <c r="C737" s="45"/>
      <c r="D737" s="45"/>
      <c r="E737" s="56"/>
      <c r="F737" s="49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9"/>
      <c r="C738" s="45"/>
      <c r="D738" s="45"/>
      <c r="E738" s="56"/>
      <c r="F738" s="49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9"/>
      <c r="C739" s="45"/>
      <c r="D739" s="45"/>
      <c r="E739" s="56"/>
      <c r="F739" s="49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9"/>
      <c r="C740" s="45"/>
      <c r="D740" s="45"/>
      <c r="E740" s="56"/>
      <c r="F740" s="49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9"/>
      <c r="C741" s="45"/>
      <c r="D741" s="45"/>
      <c r="E741" s="56"/>
      <c r="F741" s="49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9"/>
      <c r="C742" s="45"/>
      <c r="D742" s="45"/>
      <c r="E742" s="56"/>
      <c r="F742" s="49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9"/>
      <c r="C743" s="45"/>
      <c r="D743" s="45"/>
      <c r="E743" s="56"/>
      <c r="F743" s="49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9"/>
      <c r="C744" s="45"/>
      <c r="D744" s="45"/>
      <c r="E744" s="56"/>
      <c r="F744" s="49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9"/>
      <c r="C745" s="45"/>
      <c r="D745" s="45"/>
      <c r="E745" s="56"/>
      <c r="F745" s="49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9"/>
      <c r="C746" s="45"/>
      <c r="D746" s="45"/>
      <c r="E746" s="56"/>
      <c r="F746" s="49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9"/>
      <c r="C747" s="45"/>
      <c r="D747" s="45"/>
      <c r="E747" s="56"/>
      <c r="F747" s="49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9"/>
      <c r="C748" s="45"/>
      <c r="D748" s="45"/>
      <c r="E748" s="56"/>
      <c r="F748" s="49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9"/>
      <c r="C749" s="45"/>
      <c r="D749" s="45"/>
      <c r="E749" s="56"/>
      <c r="F749" s="49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9"/>
      <c r="C750" s="45"/>
      <c r="D750" s="45"/>
      <c r="E750" s="56"/>
      <c r="F750" s="49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9"/>
      <c r="C751" s="45"/>
      <c r="D751" s="45"/>
      <c r="E751" s="56"/>
      <c r="F751" s="49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9"/>
      <c r="C752" s="45"/>
      <c r="D752" s="45"/>
      <c r="E752" s="56"/>
      <c r="F752" s="49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9"/>
      <c r="C753" s="45"/>
      <c r="D753" s="45"/>
      <c r="E753" s="56"/>
      <c r="F753" s="49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9"/>
      <c r="C754" s="45"/>
      <c r="D754" s="45"/>
      <c r="E754" s="56"/>
      <c r="F754" s="49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9"/>
      <c r="C755" s="45"/>
      <c r="D755" s="45"/>
      <c r="E755" s="56"/>
      <c r="F755" s="49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9"/>
      <c r="C756" s="45"/>
      <c r="D756" s="45"/>
      <c r="E756" s="56"/>
      <c r="F756" s="49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9"/>
      <c r="C757" s="45"/>
      <c r="D757" s="45"/>
      <c r="E757" s="56"/>
      <c r="F757" s="49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9"/>
      <c r="C758" s="45"/>
      <c r="D758" s="45"/>
      <c r="E758" s="56"/>
      <c r="F758" s="49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9"/>
      <c r="C759" s="45"/>
      <c r="D759" s="45"/>
      <c r="E759" s="56"/>
      <c r="F759" s="49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9"/>
      <c r="C760" s="45"/>
      <c r="D760" s="45"/>
      <c r="E760" s="56"/>
      <c r="F760" s="49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9"/>
      <c r="C761" s="45"/>
      <c r="D761" s="45"/>
      <c r="E761" s="56"/>
      <c r="F761" s="49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9"/>
      <c r="C762" s="45"/>
      <c r="D762" s="45"/>
      <c r="E762" s="56"/>
      <c r="F762" s="49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9"/>
      <c r="C763" s="45"/>
      <c r="D763" s="45"/>
      <c r="E763" s="56"/>
      <c r="F763" s="49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9"/>
      <c r="C764" s="45"/>
      <c r="D764" s="45"/>
      <c r="E764" s="56"/>
      <c r="F764" s="49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9"/>
      <c r="C765" s="45"/>
      <c r="D765" s="45"/>
      <c r="E765" s="56"/>
      <c r="F765" s="49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9"/>
      <c r="C766" s="45"/>
      <c r="D766" s="45"/>
      <c r="E766" s="56"/>
      <c r="F766" s="49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9"/>
      <c r="C767" s="45"/>
      <c r="D767" s="45"/>
      <c r="E767" s="56"/>
      <c r="F767" s="49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9"/>
      <c r="C768" s="45"/>
      <c r="D768" s="45"/>
      <c r="E768" s="56"/>
      <c r="F768" s="49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9"/>
      <c r="C769" s="45"/>
      <c r="D769" s="45"/>
      <c r="E769" s="56"/>
      <c r="F769" s="49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9"/>
      <c r="C770" s="45"/>
      <c r="D770" s="45"/>
      <c r="E770" s="56"/>
      <c r="F770" s="49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9"/>
      <c r="C771" s="45"/>
      <c r="D771" s="45"/>
      <c r="E771" s="56"/>
      <c r="F771" s="49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9"/>
      <c r="C772" s="45"/>
      <c r="D772" s="45"/>
      <c r="E772" s="56"/>
      <c r="F772" s="49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9"/>
      <c r="C773" s="45"/>
      <c r="D773" s="45"/>
      <c r="E773" s="56"/>
      <c r="F773" s="49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9"/>
      <c r="C774" s="45"/>
      <c r="D774" s="45"/>
      <c r="E774" s="56"/>
      <c r="F774" s="49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9"/>
      <c r="C775" s="45"/>
      <c r="D775" s="45"/>
      <c r="E775" s="56"/>
      <c r="F775" s="49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9"/>
      <c r="C776" s="45"/>
      <c r="D776" s="45"/>
      <c r="E776" s="56"/>
      <c r="F776" s="49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9"/>
      <c r="C777" s="45"/>
      <c r="D777" s="45"/>
      <c r="E777" s="56"/>
      <c r="F777" s="49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9"/>
      <c r="C778" s="45"/>
      <c r="D778" s="45"/>
      <c r="E778" s="56"/>
      <c r="F778" s="49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9"/>
      <c r="C779" s="45"/>
      <c r="D779" s="45"/>
      <c r="E779" s="56"/>
      <c r="F779" s="49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9"/>
      <c r="C780" s="45"/>
      <c r="D780" s="45"/>
      <c r="E780" s="56"/>
      <c r="F780" s="49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9"/>
      <c r="C781" s="45"/>
      <c r="D781" s="45"/>
      <c r="E781" s="56"/>
      <c r="F781" s="49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9"/>
      <c r="C782" s="45"/>
      <c r="D782" s="45"/>
      <c r="E782" s="56"/>
      <c r="F782" s="49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9"/>
      <c r="C783" s="45"/>
      <c r="D783" s="45"/>
      <c r="E783" s="56"/>
      <c r="F783" s="49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9"/>
      <c r="C784" s="45"/>
      <c r="D784" s="45"/>
      <c r="E784" s="56"/>
      <c r="F784" s="49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9"/>
      <c r="C785" s="45"/>
      <c r="D785" s="45"/>
      <c r="E785" s="56"/>
      <c r="F785" s="49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9"/>
      <c r="C786" s="45"/>
      <c r="D786" s="45"/>
      <c r="E786" s="56"/>
      <c r="F786" s="49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9"/>
      <c r="C787" s="45"/>
      <c r="D787" s="45"/>
      <c r="E787" s="56"/>
      <c r="F787" s="49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9"/>
      <c r="C788" s="45"/>
      <c r="D788" s="45"/>
      <c r="E788" s="56"/>
      <c r="F788" s="49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9"/>
      <c r="C789" s="45"/>
      <c r="D789" s="45"/>
      <c r="E789" s="56"/>
      <c r="F789" s="49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9"/>
      <c r="C790" s="45"/>
      <c r="D790" s="45"/>
      <c r="E790" s="56"/>
      <c r="F790" s="49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9"/>
      <c r="C791" s="45"/>
      <c r="D791" s="45"/>
      <c r="E791" s="56"/>
      <c r="F791" s="49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9"/>
      <c r="C792" s="45"/>
      <c r="D792" s="45"/>
      <c r="E792" s="56"/>
      <c r="F792" s="49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9"/>
      <c r="C793" s="45"/>
      <c r="D793" s="45"/>
      <c r="E793" s="56"/>
      <c r="F793" s="49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9"/>
      <c r="C794" s="45"/>
      <c r="D794" s="45"/>
      <c r="E794" s="56"/>
      <c r="F794" s="49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9"/>
      <c r="C795" s="45"/>
      <c r="D795" s="45"/>
      <c r="E795" s="56"/>
      <c r="F795" s="49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9"/>
      <c r="C796" s="45"/>
      <c r="D796" s="45"/>
      <c r="E796" s="56"/>
      <c r="F796" s="49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9"/>
      <c r="C797" s="45"/>
      <c r="D797" s="45"/>
      <c r="E797" s="56"/>
      <c r="F797" s="49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9"/>
      <c r="C798" s="45"/>
      <c r="D798" s="45"/>
      <c r="E798" s="56"/>
      <c r="F798" s="49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9"/>
      <c r="C799" s="45"/>
      <c r="D799" s="45"/>
      <c r="E799" s="56"/>
      <c r="F799" s="49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9"/>
      <c r="C800" s="45"/>
      <c r="D800" s="45"/>
      <c r="E800" s="56"/>
      <c r="F800" s="49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9"/>
      <c r="C801" s="45"/>
      <c r="D801" s="45"/>
      <c r="E801" s="56"/>
      <c r="F801" s="49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9"/>
      <c r="C802" s="45"/>
      <c r="D802" s="45"/>
      <c r="E802" s="56"/>
      <c r="F802" s="49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9"/>
      <c r="C803" s="45"/>
      <c r="D803" s="45"/>
      <c r="E803" s="56"/>
      <c r="F803" s="49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9"/>
      <c r="C804" s="45"/>
      <c r="D804" s="45"/>
      <c r="E804" s="56"/>
      <c r="F804" s="49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9"/>
      <c r="C805" s="45"/>
      <c r="D805" s="45"/>
      <c r="E805" s="56"/>
      <c r="F805" s="49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9"/>
      <c r="C806" s="45"/>
      <c r="D806" s="45"/>
      <c r="E806" s="56"/>
      <c r="F806" s="49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9"/>
      <c r="C807" s="45"/>
      <c r="D807" s="45"/>
      <c r="E807" s="56"/>
      <c r="F807" s="49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9"/>
      <c r="C808" s="45"/>
      <c r="D808" s="45"/>
      <c r="E808" s="56"/>
      <c r="F808" s="49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9"/>
      <c r="C809" s="45"/>
      <c r="D809" s="45"/>
      <c r="E809" s="56"/>
      <c r="F809" s="49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9"/>
      <c r="C810" s="45"/>
      <c r="D810" s="45"/>
      <c r="E810" s="56"/>
      <c r="F810" s="49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9"/>
      <c r="C811" s="45"/>
      <c r="D811" s="45"/>
      <c r="E811" s="56"/>
      <c r="F811" s="49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9"/>
      <c r="C812" s="45"/>
      <c r="D812" s="45"/>
      <c r="E812" s="56"/>
      <c r="F812" s="49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9"/>
      <c r="C813" s="45"/>
      <c r="D813" s="45"/>
      <c r="E813" s="56"/>
      <c r="F813" s="49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9"/>
      <c r="C814" s="45"/>
      <c r="D814" s="45"/>
      <c r="E814" s="56"/>
      <c r="F814" s="49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9"/>
      <c r="C815" s="45"/>
      <c r="D815" s="45"/>
      <c r="E815" s="56"/>
      <c r="F815" s="49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9"/>
      <c r="C816" s="45"/>
      <c r="D816" s="45"/>
      <c r="E816" s="56"/>
      <c r="F816" s="49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9"/>
      <c r="C817" s="45"/>
      <c r="D817" s="45"/>
      <c r="E817" s="56"/>
      <c r="F817" s="49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9"/>
      <c r="C818" s="45"/>
      <c r="D818" s="45"/>
      <c r="E818" s="56"/>
      <c r="F818" s="49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9"/>
      <c r="C819" s="45"/>
      <c r="D819" s="45"/>
      <c r="E819" s="56"/>
      <c r="F819" s="49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9"/>
      <c r="C820" s="45"/>
      <c r="D820" s="45"/>
      <c r="E820" s="56"/>
      <c r="F820" s="49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9"/>
      <c r="C821" s="45"/>
      <c r="D821" s="45"/>
      <c r="E821" s="56"/>
      <c r="F821" s="49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9"/>
      <c r="C822" s="45"/>
      <c r="D822" s="45"/>
      <c r="E822" s="56"/>
      <c r="F822" s="49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9"/>
      <c r="C823" s="45"/>
      <c r="D823" s="45"/>
      <c r="E823" s="56"/>
      <c r="F823" s="49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9"/>
      <c r="C824" s="45"/>
      <c r="D824" s="45"/>
      <c r="E824" s="56"/>
      <c r="F824" s="49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9"/>
      <c r="C825" s="45"/>
      <c r="D825" s="45"/>
      <c r="E825" s="56"/>
      <c r="F825" s="49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9"/>
      <c r="C826" s="45"/>
      <c r="D826" s="45"/>
      <c r="E826" s="56"/>
      <c r="F826" s="49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9"/>
      <c r="C827" s="45"/>
      <c r="D827" s="45"/>
      <c r="E827" s="56"/>
      <c r="F827" s="49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9"/>
      <c r="C828" s="45"/>
      <c r="D828" s="45"/>
      <c r="E828" s="56"/>
      <c r="F828" s="49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9"/>
      <c r="C829" s="45"/>
      <c r="D829" s="45"/>
      <c r="E829" s="56"/>
      <c r="F829" s="49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9"/>
      <c r="C830" s="45"/>
      <c r="D830" s="45"/>
      <c r="E830" s="56"/>
      <c r="F830" s="49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9"/>
      <c r="C831" s="45"/>
      <c r="D831" s="45"/>
      <c r="E831" s="56"/>
      <c r="F831" s="49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9"/>
      <c r="C832" s="45"/>
      <c r="D832" s="45"/>
      <c r="E832" s="56"/>
      <c r="F832" s="49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9"/>
      <c r="C833" s="45"/>
      <c r="D833" s="45"/>
      <c r="E833" s="56"/>
      <c r="F833" s="49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9"/>
      <c r="C834" s="45"/>
      <c r="D834" s="45"/>
      <c r="E834" s="56"/>
      <c r="F834" s="49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9"/>
      <c r="C835" s="45"/>
      <c r="D835" s="45"/>
      <c r="E835" s="56"/>
      <c r="F835" s="49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9"/>
      <c r="C836" s="45"/>
      <c r="D836" s="45"/>
      <c r="E836" s="56"/>
      <c r="F836" s="49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9"/>
      <c r="C837" s="45"/>
      <c r="D837" s="45"/>
      <c r="E837" s="56"/>
      <c r="F837" s="49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9"/>
      <c r="C838" s="45"/>
      <c r="D838" s="45"/>
      <c r="E838" s="56"/>
      <c r="F838" s="49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9"/>
      <c r="C839" s="45"/>
      <c r="D839" s="45"/>
      <c r="E839" s="56"/>
      <c r="F839" s="49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9"/>
      <c r="C840" s="45"/>
      <c r="D840" s="45"/>
      <c r="E840" s="56"/>
      <c r="F840" s="49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9"/>
      <c r="C841" s="45"/>
      <c r="D841" s="45"/>
      <c r="E841" s="56"/>
      <c r="F841" s="49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9"/>
      <c r="C842" s="45"/>
      <c r="D842" s="45"/>
      <c r="E842" s="56"/>
      <c r="F842" s="49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9"/>
      <c r="C843" s="45"/>
      <c r="D843" s="45"/>
      <c r="E843" s="56"/>
      <c r="F843" s="49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9"/>
      <c r="C844" s="45"/>
      <c r="D844" s="45"/>
      <c r="E844" s="56"/>
      <c r="F844" s="49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9"/>
      <c r="C845" s="45"/>
      <c r="D845" s="45"/>
      <c r="E845" s="56"/>
      <c r="F845" s="49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9"/>
      <c r="C846" s="45"/>
      <c r="D846" s="45"/>
      <c r="E846" s="56"/>
      <c r="F846" s="49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9"/>
      <c r="C847" s="45"/>
      <c r="D847" s="45"/>
      <c r="E847" s="56"/>
      <c r="F847" s="49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9"/>
      <c r="C848" s="45"/>
      <c r="D848" s="45"/>
      <c r="E848" s="56"/>
      <c r="F848" s="49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9"/>
      <c r="C849" s="45"/>
      <c r="D849" s="45"/>
      <c r="E849" s="56"/>
      <c r="F849" s="49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9"/>
      <c r="C850" s="45"/>
      <c r="D850" s="45"/>
      <c r="E850" s="56"/>
      <c r="F850" s="49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9"/>
      <c r="C851" s="45"/>
      <c r="D851" s="45"/>
      <c r="E851" s="56"/>
      <c r="F851" s="49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9"/>
      <c r="C852" s="45"/>
      <c r="D852" s="45"/>
      <c r="E852" s="56"/>
      <c r="F852" s="49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9"/>
      <c r="C853" s="45"/>
      <c r="D853" s="45"/>
      <c r="E853" s="56"/>
      <c r="F853" s="49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9"/>
      <c r="C854" s="45"/>
      <c r="D854" s="45"/>
      <c r="E854" s="56"/>
      <c r="F854" s="49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9"/>
      <c r="C855" s="45"/>
      <c r="D855" s="45"/>
      <c r="E855" s="56"/>
      <c r="F855" s="49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9"/>
      <c r="C856" s="45"/>
      <c r="D856" s="45"/>
      <c r="E856" s="56"/>
      <c r="F856" s="49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9"/>
      <c r="C857" s="45"/>
      <c r="D857" s="45"/>
      <c r="E857" s="56"/>
      <c r="F857" s="49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9"/>
      <c r="C858" s="45"/>
      <c r="D858" s="45"/>
      <c r="E858" s="56"/>
      <c r="F858" s="49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9"/>
      <c r="C859" s="45"/>
      <c r="D859" s="45"/>
      <c r="E859" s="56"/>
      <c r="F859" s="49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9"/>
      <c r="C860" s="45"/>
      <c r="D860" s="45"/>
      <c r="E860" s="56"/>
      <c r="F860" s="49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9"/>
      <c r="C861" s="45"/>
      <c r="D861" s="45"/>
      <c r="E861" s="56"/>
      <c r="F861" s="49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9"/>
      <c r="C862" s="45"/>
      <c r="D862" s="45"/>
      <c r="E862" s="56"/>
      <c r="F862" s="49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9"/>
      <c r="C863" s="45"/>
      <c r="D863" s="45"/>
      <c r="E863" s="56"/>
      <c r="F863" s="49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9"/>
      <c r="C864" s="45"/>
      <c r="D864" s="45"/>
      <c r="E864" s="56"/>
      <c r="F864" s="49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9"/>
      <c r="C865" s="45"/>
      <c r="D865" s="45"/>
      <c r="E865" s="56"/>
      <c r="F865" s="49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9"/>
      <c r="C866" s="45"/>
      <c r="D866" s="45"/>
      <c r="E866" s="56"/>
      <c r="F866" s="49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9"/>
      <c r="C867" s="45"/>
      <c r="D867" s="45"/>
      <c r="E867" s="56"/>
      <c r="F867" s="49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9"/>
      <c r="C868" s="45"/>
      <c r="D868" s="45"/>
      <c r="E868" s="56"/>
      <c r="F868" s="49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9"/>
      <c r="C869" s="45"/>
      <c r="D869" s="45"/>
      <c r="E869" s="56"/>
      <c r="F869" s="49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9"/>
      <c r="C870" s="45"/>
      <c r="D870" s="45"/>
      <c r="E870" s="56"/>
      <c r="F870" s="49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9"/>
      <c r="C871" s="45"/>
      <c r="D871" s="45"/>
      <c r="E871" s="56"/>
      <c r="F871" s="49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9"/>
      <c r="C872" s="45"/>
      <c r="D872" s="45"/>
      <c r="E872" s="56"/>
      <c r="F872" s="49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9"/>
      <c r="C873" s="45"/>
      <c r="D873" s="45"/>
      <c r="E873" s="56"/>
      <c r="F873" s="49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9"/>
      <c r="C874" s="45"/>
      <c r="D874" s="45"/>
      <c r="E874" s="56"/>
      <c r="F874" s="49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9"/>
      <c r="C875" s="45"/>
      <c r="D875" s="45"/>
      <c r="E875" s="56"/>
      <c r="F875" s="49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9"/>
      <c r="C876" s="45"/>
      <c r="D876" s="45"/>
      <c r="E876" s="56"/>
      <c r="F876" s="49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9"/>
      <c r="C877" s="45"/>
      <c r="D877" s="45"/>
      <c r="E877" s="56"/>
      <c r="F877" s="49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9"/>
      <c r="C878" s="45"/>
      <c r="D878" s="45"/>
      <c r="E878" s="56"/>
      <c r="F878" s="49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9"/>
      <c r="C879" s="45"/>
      <c r="D879" s="45"/>
      <c r="E879" s="56"/>
      <c r="F879" s="49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9"/>
      <c r="C880" s="45"/>
      <c r="D880" s="45"/>
      <c r="E880" s="56"/>
      <c r="F880" s="49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9"/>
      <c r="C881" s="45"/>
      <c r="D881" s="45"/>
      <c r="E881" s="56"/>
      <c r="F881" s="49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9"/>
      <c r="C882" s="45"/>
      <c r="D882" s="45"/>
      <c r="E882" s="56"/>
      <c r="F882" s="49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9"/>
      <c r="C883" s="45"/>
      <c r="D883" s="45"/>
      <c r="E883" s="56"/>
      <c r="F883" s="49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9"/>
      <c r="C884" s="45"/>
      <c r="D884" s="45"/>
      <c r="E884" s="56"/>
      <c r="F884" s="49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9"/>
      <c r="C885" s="45"/>
      <c r="D885" s="45"/>
      <c r="E885" s="56"/>
      <c r="F885" s="49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9"/>
      <c r="C886" s="45"/>
      <c r="D886" s="45"/>
      <c r="E886" s="56"/>
      <c r="F886" s="49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9"/>
      <c r="C887" s="45"/>
      <c r="D887" s="45"/>
      <c r="E887" s="56"/>
      <c r="F887" s="49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9"/>
      <c r="C888" s="45"/>
      <c r="D888" s="45"/>
      <c r="E888" s="56"/>
      <c r="F888" s="49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9"/>
      <c r="C889" s="45"/>
      <c r="D889" s="45"/>
      <c r="E889" s="56"/>
      <c r="F889" s="49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9"/>
      <c r="C890" s="45"/>
      <c r="D890" s="45"/>
      <c r="E890" s="56"/>
      <c r="F890" s="49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9"/>
      <c r="C891" s="45"/>
      <c r="D891" s="45"/>
      <c r="E891" s="56"/>
      <c r="F891" s="49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9"/>
      <c r="C892" s="45"/>
      <c r="D892" s="45"/>
      <c r="E892" s="56"/>
      <c r="F892" s="49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9"/>
      <c r="C893" s="45"/>
      <c r="D893" s="45"/>
      <c r="E893" s="56"/>
      <c r="F893" s="49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9"/>
      <c r="C894" s="45"/>
      <c r="D894" s="45"/>
      <c r="E894" s="56"/>
      <c r="F894" s="49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9"/>
      <c r="C895" s="45"/>
      <c r="D895" s="45"/>
      <c r="E895" s="56"/>
      <c r="F895" s="49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9"/>
      <c r="C896" s="45"/>
      <c r="D896" s="45"/>
      <c r="E896" s="56"/>
      <c r="F896" s="49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9"/>
      <c r="C897" s="45"/>
      <c r="D897" s="45"/>
      <c r="E897" s="56"/>
      <c r="F897" s="49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9"/>
      <c r="C898" s="45"/>
      <c r="D898" s="45"/>
      <c r="E898" s="56"/>
      <c r="F898" s="49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9"/>
      <c r="C899" s="45"/>
      <c r="D899" s="45"/>
      <c r="E899" s="56"/>
      <c r="F899" s="49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9"/>
      <c r="C900" s="45"/>
      <c r="D900" s="45"/>
      <c r="E900" s="56"/>
      <c r="F900" s="49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9"/>
      <c r="C901" s="45"/>
      <c r="D901" s="45"/>
      <c r="E901" s="56"/>
      <c r="F901" s="49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9"/>
      <c r="C902" s="45"/>
      <c r="D902" s="45"/>
      <c r="E902" s="56"/>
      <c r="F902" s="49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9"/>
      <c r="C903" s="45"/>
      <c r="D903" s="45"/>
      <c r="E903" s="56"/>
      <c r="F903" s="49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9"/>
      <c r="C904" s="45"/>
      <c r="D904" s="45"/>
      <c r="E904" s="56"/>
      <c r="F904" s="49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9"/>
      <c r="C905" s="45"/>
      <c r="D905" s="45"/>
      <c r="E905" s="56"/>
      <c r="F905" s="49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9"/>
      <c r="C906" s="45"/>
      <c r="D906" s="45"/>
      <c r="E906" s="56"/>
      <c r="F906" s="49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9"/>
      <c r="C907" s="45"/>
      <c r="D907" s="45"/>
      <c r="E907" s="56"/>
      <c r="F907" s="49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9"/>
      <c r="C908" s="45"/>
      <c r="D908" s="45"/>
      <c r="E908" s="56"/>
      <c r="F908" s="49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9"/>
      <c r="C909" s="45"/>
      <c r="D909" s="45"/>
      <c r="E909" s="56"/>
      <c r="F909" s="49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9"/>
      <c r="C910" s="45"/>
      <c r="D910" s="45"/>
      <c r="E910" s="56"/>
      <c r="F910" s="49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9"/>
      <c r="C911" s="45"/>
      <c r="D911" s="45"/>
      <c r="E911" s="56"/>
      <c r="F911" s="49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9"/>
      <c r="C912" s="45"/>
      <c r="D912" s="45"/>
      <c r="E912" s="56"/>
      <c r="F912" s="49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9"/>
      <c r="C913" s="45"/>
      <c r="D913" s="45"/>
      <c r="E913" s="56"/>
      <c r="F913" s="49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9"/>
      <c r="C914" s="45"/>
      <c r="D914" s="45"/>
      <c r="E914" s="56"/>
      <c r="F914" s="49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9"/>
      <c r="C915" s="45"/>
      <c r="D915" s="45"/>
      <c r="E915" s="56"/>
      <c r="F915" s="49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9"/>
      <c r="C916" s="45"/>
      <c r="D916" s="45"/>
      <c r="E916" s="56"/>
      <c r="F916" s="49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9"/>
      <c r="C917" s="45"/>
      <c r="D917" s="45"/>
      <c r="E917" s="56"/>
      <c r="F917" s="49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9"/>
      <c r="C918" s="45"/>
      <c r="D918" s="45"/>
      <c r="E918" s="56"/>
      <c r="F918" s="49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9"/>
      <c r="C919" s="45"/>
      <c r="D919" s="45"/>
      <c r="E919" s="56"/>
      <c r="F919" s="49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9"/>
      <c r="C920" s="45"/>
      <c r="D920" s="45"/>
      <c r="E920" s="56"/>
      <c r="F920" s="49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9"/>
      <c r="C921" s="45"/>
      <c r="D921" s="45"/>
      <c r="E921" s="56"/>
      <c r="F921" s="49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9"/>
      <c r="C922" s="45"/>
      <c r="D922" s="45"/>
      <c r="E922" s="56"/>
      <c r="F922" s="49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9"/>
      <c r="C923" s="45"/>
      <c r="D923" s="45"/>
      <c r="E923" s="56"/>
      <c r="F923" s="49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9"/>
      <c r="C924" s="45"/>
      <c r="D924" s="45"/>
      <c r="E924" s="56"/>
      <c r="F924" s="49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9"/>
      <c r="C925" s="45"/>
      <c r="D925" s="45"/>
      <c r="E925" s="56"/>
      <c r="F925" s="49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9"/>
      <c r="C926" s="45"/>
      <c r="D926" s="45"/>
      <c r="E926" s="56"/>
      <c r="F926" s="49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9"/>
      <c r="C927" s="45"/>
      <c r="D927" s="45"/>
      <c r="E927" s="56"/>
      <c r="F927" s="49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</sheetData>
  <hyperlinks>
    <hyperlink r:id="rId1" ref="F98"/>
    <hyperlink r:id="rId2" ref="F99"/>
    <hyperlink r:id="rId3" ref="F10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75"/>
    <col customWidth="1" min="3" max="3" width="11.88"/>
    <col customWidth="1" min="4" max="4" width="22.75"/>
    <col customWidth="1" min="5" max="5" width="55.0"/>
    <col customWidth="1" min="6" max="6" width="44.63"/>
    <col customWidth="1" min="7" max="22" width="22.75"/>
  </cols>
  <sheetData>
    <row r="1">
      <c r="A1" s="57" t="s">
        <v>1</v>
      </c>
      <c r="B1" s="57" t="s">
        <v>859</v>
      </c>
      <c r="C1" s="57" t="s">
        <v>860</v>
      </c>
      <c r="D1" s="57" t="s">
        <v>861</v>
      </c>
      <c r="E1" s="57" t="s">
        <v>862</v>
      </c>
      <c r="F1" s="57" t="s">
        <v>863</v>
      </c>
      <c r="G1" s="57" t="s">
        <v>864</v>
      </c>
      <c r="H1" s="57" t="s">
        <v>865</v>
      </c>
      <c r="I1" s="57" t="s">
        <v>866</v>
      </c>
      <c r="J1" s="57" t="s">
        <v>867</v>
      </c>
      <c r="K1" s="57" t="s">
        <v>868</v>
      </c>
      <c r="L1" s="57" t="s">
        <v>869</v>
      </c>
      <c r="M1" s="57" t="s">
        <v>870</v>
      </c>
      <c r="N1" s="57" t="s">
        <v>871</v>
      </c>
      <c r="O1" s="57" t="s">
        <v>872</v>
      </c>
      <c r="P1" s="57" t="s">
        <v>873</v>
      </c>
      <c r="Q1" s="57" t="s">
        <v>874</v>
      </c>
      <c r="R1" s="57" t="s">
        <v>875</v>
      </c>
      <c r="S1" s="58"/>
      <c r="T1" s="57"/>
      <c r="U1" s="59"/>
      <c r="V1" s="59"/>
      <c r="W1" s="60"/>
      <c r="X1" s="60"/>
      <c r="Y1" s="60"/>
      <c r="Z1" s="60"/>
      <c r="AA1" s="60"/>
      <c r="AB1" s="60"/>
      <c r="AC1" s="60"/>
      <c r="AD1" s="60"/>
      <c r="AE1" s="60"/>
    </row>
    <row r="2">
      <c r="A2" s="61" t="s">
        <v>297</v>
      </c>
      <c r="B2" s="61" t="s">
        <v>876</v>
      </c>
      <c r="C2" s="61">
        <v>9.444059787E9</v>
      </c>
      <c r="D2" s="61" t="s">
        <v>877</v>
      </c>
      <c r="E2" s="61" t="s">
        <v>878</v>
      </c>
      <c r="F2" s="61" t="s">
        <v>878</v>
      </c>
      <c r="G2" s="62"/>
      <c r="H2" s="61" t="s">
        <v>879</v>
      </c>
      <c r="I2" s="61" t="s">
        <v>880</v>
      </c>
      <c r="J2" s="61" t="s">
        <v>881</v>
      </c>
      <c r="K2" s="61" t="s">
        <v>882</v>
      </c>
      <c r="L2" s="61" t="s">
        <v>883</v>
      </c>
      <c r="M2" s="61" t="s">
        <v>884</v>
      </c>
      <c r="N2" s="61" t="s">
        <v>885</v>
      </c>
      <c r="O2" s="61" t="s">
        <v>886</v>
      </c>
      <c r="P2" s="61" t="s">
        <v>886</v>
      </c>
      <c r="Q2" s="61" t="s">
        <v>886</v>
      </c>
      <c r="R2" s="61" t="s">
        <v>886</v>
      </c>
      <c r="S2" s="63"/>
      <c r="T2" s="64"/>
      <c r="U2" s="65"/>
      <c r="V2" s="65"/>
      <c r="W2" s="66"/>
      <c r="X2" s="66"/>
      <c r="Y2" s="66"/>
      <c r="Z2" s="66"/>
      <c r="AA2" s="66"/>
      <c r="AB2" s="66"/>
      <c r="AC2" s="66"/>
      <c r="AD2" s="66"/>
      <c r="AE2" s="66"/>
    </row>
    <row r="3">
      <c r="A3" s="61" t="s">
        <v>407</v>
      </c>
      <c r="B3" s="61" t="s">
        <v>407</v>
      </c>
      <c r="C3" s="61">
        <v>9.444059787E9</v>
      </c>
      <c r="D3" s="61"/>
      <c r="E3" s="61" t="s">
        <v>176</v>
      </c>
      <c r="F3" s="61" t="s">
        <v>176</v>
      </c>
      <c r="G3" s="62"/>
      <c r="H3" s="61">
        <v>3.0</v>
      </c>
      <c r="I3" s="61" t="s">
        <v>880</v>
      </c>
      <c r="J3" s="61" t="s">
        <v>881</v>
      </c>
      <c r="K3" s="61" t="s">
        <v>887</v>
      </c>
      <c r="L3" s="61" t="s">
        <v>888</v>
      </c>
      <c r="M3" s="61" t="s">
        <v>889</v>
      </c>
      <c r="N3" s="61" t="s">
        <v>885</v>
      </c>
      <c r="O3" s="62"/>
      <c r="P3" s="61" t="s">
        <v>886</v>
      </c>
      <c r="Q3" s="61" t="s">
        <v>886</v>
      </c>
      <c r="R3" s="61" t="s">
        <v>886</v>
      </c>
      <c r="S3" s="63"/>
      <c r="T3" s="62"/>
      <c r="U3" s="67"/>
      <c r="V3" s="65"/>
      <c r="W3" s="66"/>
      <c r="X3" s="66"/>
      <c r="Y3" s="66"/>
      <c r="Z3" s="66"/>
      <c r="AA3" s="66"/>
      <c r="AB3" s="66"/>
      <c r="AC3" s="66"/>
      <c r="AD3" s="66"/>
      <c r="AE3" s="66"/>
    </row>
    <row r="4">
      <c r="A4" s="61" t="s">
        <v>409</v>
      </c>
      <c r="B4" s="61" t="s">
        <v>409</v>
      </c>
      <c r="C4" s="61">
        <v>7.904014743E9</v>
      </c>
      <c r="D4" s="61" t="s">
        <v>89</v>
      </c>
      <c r="E4" s="61" t="s">
        <v>890</v>
      </c>
      <c r="F4" s="61" t="s">
        <v>890</v>
      </c>
      <c r="G4" s="68" t="s">
        <v>891</v>
      </c>
      <c r="H4" s="61" t="s">
        <v>892</v>
      </c>
      <c r="I4" s="61" t="s">
        <v>880</v>
      </c>
      <c r="J4" s="61" t="s">
        <v>881</v>
      </c>
      <c r="K4" s="61" t="s">
        <v>887</v>
      </c>
      <c r="L4" s="61" t="s">
        <v>893</v>
      </c>
      <c r="M4" s="61" t="s">
        <v>894</v>
      </c>
      <c r="N4" s="61" t="s">
        <v>885</v>
      </c>
      <c r="O4" s="61" t="s">
        <v>886</v>
      </c>
      <c r="P4" s="61" t="s">
        <v>886</v>
      </c>
      <c r="Q4" s="61" t="s">
        <v>886</v>
      </c>
      <c r="R4" s="61" t="s">
        <v>886</v>
      </c>
      <c r="S4" s="63"/>
      <c r="T4" s="61"/>
      <c r="U4" s="61"/>
      <c r="V4" s="67"/>
      <c r="W4" s="66"/>
      <c r="X4" s="66"/>
      <c r="Y4" s="66"/>
      <c r="Z4" s="66"/>
      <c r="AA4" s="66"/>
      <c r="AB4" s="66"/>
      <c r="AC4" s="66"/>
      <c r="AD4" s="66"/>
      <c r="AE4" s="66"/>
    </row>
    <row r="5">
      <c r="A5" s="61" t="s">
        <v>412</v>
      </c>
      <c r="B5" s="61" t="s">
        <v>895</v>
      </c>
      <c r="C5" s="61">
        <v>9.952919566E9</v>
      </c>
      <c r="D5" s="61" t="s">
        <v>89</v>
      </c>
      <c r="E5" s="61" t="s">
        <v>176</v>
      </c>
      <c r="F5" s="61" t="s">
        <v>24</v>
      </c>
      <c r="G5" s="61" t="s">
        <v>89</v>
      </c>
      <c r="H5" s="61">
        <v>4.4</v>
      </c>
      <c r="I5" s="61" t="s">
        <v>880</v>
      </c>
      <c r="J5" s="61" t="s">
        <v>896</v>
      </c>
      <c r="K5" s="61" t="s">
        <v>882</v>
      </c>
      <c r="L5" s="61" t="s">
        <v>897</v>
      </c>
      <c r="M5" s="61" t="s">
        <v>898</v>
      </c>
      <c r="N5" s="61" t="s">
        <v>885</v>
      </c>
      <c r="O5" s="61" t="s">
        <v>899</v>
      </c>
      <c r="P5" s="61" t="s">
        <v>886</v>
      </c>
      <c r="Q5" s="61" t="s">
        <v>886</v>
      </c>
      <c r="R5" s="61" t="s">
        <v>899</v>
      </c>
      <c r="S5" s="63"/>
      <c r="T5" s="61"/>
      <c r="U5" s="61"/>
      <c r="V5" s="65"/>
      <c r="W5" s="66"/>
      <c r="X5" s="66"/>
      <c r="Y5" s="66"/>
      <c r="Z5" s="66"/>
      <c r="AA5" s="66"/>
      <c r="AB5" s="66"/>
      <c r="AC5" s="66"/>
      <c r="AD5" s="66"/>
      <c r="AE5" s="66"/>
    </row>
    <row r="6">
      <c r="A6" s="61" t="s">
        <v>414</v>
      </c>
      <c r="B6" s="61" t="s">
        <v>900</v>
      </c>
      <c r="C6" s="61">
        <v>9.965982275E9</v>
      </c>
      <c r="D6" s="61" t="s">
        <v>901</v>
      </c>
      <c r="E6" s="61" t="s">
        <v>902</v>
      </c>
      <c r="F6" s="61" t="s">
        <v>903</v>
      </c>
      <c r="G6" s="68" t="s">
        <v>904</v>
      </c>
      <c r="H6" s="61">
        <v>36.0</v>
      </c>
      <c r="I6" s="61" t="s">
        <v>880</v>
      </c>
      <c r="J6" s="61" t="s">
        <v>896</v>
      </c>
      <c r="K6" s="61" t="s">
        <v>882</v>
      </c>
      <c r="L6" s="61" t="s">
        <v>905</v>
      </c>
      <c r="M6" s="61" t="s">
        <v>906</v>
      </c>
      <c r="N6" s="61" t="s">
        <v>885</v>
      </c>
      <c r="O6" s="61" t="s">
        <v>899</v>
      </c>
      <c r="P6" s="61" t="s">
        <v>899</v>
      </c>
      <c r="Q6" s="61" t="s">
        <v>899</v>
      </c>
      <c r="R6" s="61" t="s">
        <v>899</v>
      </c>
      <c r="S6" s="61"/>
      <c r="T6" s="62"/>
      <c r="U6" s="65"/>
      <c r="V6" s="65"/>
      <c r="W6" s="66"/>
      <c r="X6" s="66"/>
      <c r="Y6" s="66"/>
      <c r="Z6" s="66"/>
      <c r="AA6" s="66"/>
      <c r="AB6" s="66"/>
      <c r="AC6" s="66"/>
      <c r="AD6" s="66"/>
      <c r="AE6" s="66"/>
    </row>
    <row r="7">
      <c r="A7" s="61" t="s">
        <v>418</v>
      </c>
      <c r="B7" s="61" t="s">
        <v>907</v>
      </c>
      <c r="C7" s="61">
        <v>7.305021588E9</v>
      </c>
      <c r="D7" s="61" t="s">
        <v>89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1"/>
      <c r="T7" s="69"/>
      <c r="U7" s="70"/>
      <c r="V7" s="70"/>
      <c r="W7" s="66"/>
      <c r="X7" s="66"/>
      <c r="Y7" s="66"/>
      <c r="Z7" s="66"/>
      <c r="AA7" s="66"/>
      <c r="AB7" s="66"/>
      <c r="AC7" s="66"/>
      <c r="AD7" s="66"/>
      <c r="AE7" s="66"/>
    </row>
    <row r="8">
      <c r="A8" s="61" t="s">
        <v>401</v>
      </c>
      <c r="B8" s="61" t="s">
        <v>895</v>
      </c>
      <c r="C8" s="61" t="s">
        <v>908</v>
      </c>
      <c r="D8" s="61" t="s">
        <v>89</v>
      </c>
      <c r="E8" s="62"/>
      <c r="F8" s="62"/>
      <c r="G8" s="68" t="s">
        <v>909</v>
      </c>
      <c r="H8" s="61">
        <v>5.5</v>
      </c>
      <c r="I8" s="61" t="s">
        <v>880</v>
      </c>
      <c r="J8" s="61" t="s">
        <v>910</v>
      </c>
      <c r="K8" s="61" t="s">
        <v>882</v>
      </c>
      <c r="L8" s="61" t="s">
        <v>911</v>
      </c>
      <c r="M8" s="61" t="s">
        <v>912</v>
      </c>
      <c r="N8" s="61" t="s">
        <v>885</v>
      </c>
      <c r="O8" s="61" t="s">
        <v>899</v>
      </c>
      <c r="P8" s="61" t="s">
        <v>899</v>
      </c>
      <c r="Q8" s="61" t="s">
        <v>886</v>
      </c>
      <c r="R8" s="61" t="s">
        <v>899</v>
      </c>
      <c r="S8" s="61"/>
      <c r="T8" s="62"/>
      <c r="U8" s="61"/>
      <c r="V8" s="65"/>
      <c r="W8" s="66"/>
      <c r="X8" s="66"/>
      <c r="Y8" s="66"/>
      <c r="Z8" s="66"/>
      <c r="AA8" s="66"/>
      <c r="AB8" s="66"/>
      <c r="AC8" s="66"/>
      <c r="AD8" s="66"/>
      <c r="AE8" s="66"/>
    </row>
    <row r="9">
      <c r="A9" s="61" t="s">
        <v>405</v>
      </c>
      <c r="B9" s="61" t="s">
        <v>405</v>
      </c>
      <c r="C9" s="62"/>
      <c r="D9" s="62"/>
      <c r="E9" s="62"/>
      <c r="F9" s="62"/>
      <c r="G9" s="62"/>
      <c r="H9" s="62"/>
      <c r="I9" s="61" t="s">
        <v>880</v>
      </c>
      <c r="J9" s="61" t="s">
        <v>913</v>
      </c>
      <c r="K9" s="61" t="s">
        <v>887</v>
      </c>
      <c r="L9" s="62"/>
      <c r="M9" s="62"/>
      <c r="N9" s="62"/>
      <c r="O9" s="61" t="s">
        <v>886</v>
      </c>
      <c r="P9" s="61" t="s">
        <v>886</v>
      </c>
      <c r="Q9" s="61" t="s">
        <v>886</v>
      </c>
      <c r="R9" s="61" t="s">
        <v>914</v>
      </c>
      <c r="S9" s="71"/>
      <c r="T9" s="62"/>
      <c r="U9" s="65"/>
      <c r="V9" s="65"/>
      <c r="W9" s="66"/>
      <c r="X9" s="66"/>
      <c r="Y9" s="66"/>
      <c r="Z9" s="66"/>
      <c r="AA9" s="66"/>
      <c r="AB9" s="66"/>
      <c r="AC9" s="66"/>
      <c r="AD9" s="66"/>
      <c r="AE9" s="66"/>
    </row>
    <row r="10">
      <c r="A10" s="61" t="s">
        <v>264</v>
      </c>
      <c r="B10" s="61" t="s">
        <v>915</v>
      </c>
      <c r="C10" s="61" t="s">
        <v>916</v>
      </c>
      <c r="D10" s="61" t="s">
        <v>89</v>
      </c>
      <c r="E10" s="62"/>
      <c r="F10" s="62"/>
      <c r="G10" s="68" t="s">
        <v>917</v>
      </c>
      <c r="H10" s="61">
        <v>3.3</v>
      </c>
      <c r="I10" s="61" t="s">
        <v>880</v>
      </c>
      <c r="J10" s="61" t="s">
        <v>910</v>
      </c>
      <c r="K10" s="61" t="s">
        <v>882</v>
      </c>
      <c r="L10" s="61" t="s">
        <v>918</v>
      </c>
      <c r="M10" s="62"/>
      <c r="N10" s="62"/>
      <c r="O10" s="61" t="s">
        <v>899</v>
      </c>
      <c r="P10" s="61" t="s">
        <v>899</v>
      </c>
      <c r="Q10" s="61" t="s">
        <v>886</v>
      </c>
      <c r="R10" s="61" t="s">
        <v>914</v>
      </c>
      <c r="S10" s="71"/>
      <c r="T10" s="62"/>
      <c r="U10" s="65"/>
      <c r="V10" s="65"/>
      <c r="W10" s="66"/>
      <c r="X10" s="66"/>
      <c r="Y10" s="66"/>
      <c r="Z10" s="66"/>
      <c r="AA10" s="66"/>
      <c r="AB10" s="66"/>
      <c r="AC10" s="66"/>
      <c r="AD10" s="66"/>
      <c r="AE10" s="66"/>
    </row>
    <row r="11">
      <c r="A11" s="61" t="s">
        <v>420</v>
      </c>
      <c r="B11" s="61" t="s">
        <v>420</v>
      </c>
      <c r="C11" s="61">
        <v>9.840798872E9</v>
      </c>
      <c r="D11" s="61" t="s">
        <v>89</v>
      </c>
      <c r="E11" s="61" t="s">
        <v>919</v>
      </c>
      <c r="F11" s="61" t="s">
        <v>919</v>
      </c>
      <c r="G11" s="68" t="s">
        <v>920</v>
      </c>
      <c r="H11" s="61">
        <v>5.0</v>
      </c>
      <c r="I11" s="61" t="s">
        <v>921</v>
      </c>
      <c r="J11" s="61" t="s">
        <v>913</v>
      </c>
      <c r="K11" s="61" t="s">
        <v>887</v>
      </c>
      <c r="L11" s="61" t="s">
        <v>922</v>
      </c>
      <c r="M11" s="61" t="s">
        <v>923</v>
      </c>
      <c r="N11" s="61" t="s">
        <v>885</v>
      </c>
      <c r="O11" s="61" t="s">
        <v>886</v>
      </c>
      <c r="P11" s="61" t="s">
        <v>886</v>
      </c>
      <c r="Q11" s="61" t="s">
        <v>886</v>
      </c>
      <c r="R11" s="61" t="s">
        <v>914</v>
      </c>
      <c r="S11" s="71"/>
      <c r="T11" s="62"/>
      <c r="U11" s="65"/>
      <c r="V11" s="65"/>
      <c r="W11" s="66"/>
      <c r="X11" s="66"/>
      <c r="Y11" s="66"/>
      <c r="Z11" s="66"/>
      <c r="AA11" s="66"/>
      <c r="AB11" s="66"/>
      <c r="AC11" s="66"/>
      <c r="AD11" s="66"/>
      <c r="AE11" s="66"/>
    </row>
    <row r="12">
      <c r="A12" s="61" t="s">
        <v>84</v>
      </c>
      <c r="B12" s="61" t="s">
        <v>84</v>
      </c>
      <c r="C12" s="61" t="s">
        <v>924</v>
      </c>
      <c r="D12" s="62"/>
      <c r="E12" s="61" t="s">
        <v>80</v>
      </c>
      <c r="F12" s="61" t="s">
        <v>80</v>
      </c>
      <c r="G12" s="68" t="s">
        <v>925</v>
      </c>
      <c r="H12" s="61" t="s">
        <v>926</v>
      </c>
      <c r="I12" s="61" t="s">
        <v>880</v>
      </c>
      <c r="J12" s="61" t="s">
        <v>913</v>
      </c>
      <c r="K12" s="61" t="s">
        <v>887</v>
      </c>
      <c r="L12" s="61" t="s">
        <v>927</v>
      </c>
      <c r="M12" s="61" t="s">
        <v>928</v>
      </c>
      <c r="N12" s="61" t="s">
        <v>885</v>
      </c>
      <c r="O12" s="61" t="s">
        <v>886</v>
      </c>
      <c r="P12" s="61" t="s">
        <v>886</v>
      </c>
      <c r="Q12" s="61" t="s">
        <v>886</v>
      </c>
      <c r="R12" s="61" t="s">
        <v>914</v>
      </c>
      <c r="S12" s="71"/>
      <c r="T12" s="62"/>
      <c r="U12" s="65"/>
      <c r="V12" s="65"/>
      <c r="W12" s="66"/>
      <c r="X12" s="66"/>
      <c r="Y12" s="66"/>
      <c r="Z12" s="66"/>
      <c r="AA12" s="66"/>
      <c r="AB12" s="66"/>
      <c r="AC12" s="66"/>
      <c r="AD12" s="66"/>
      <c r="AE12" s="66"/>
    </row>
    <row r="13">
      <c r="A13" s="61" t="s">
        <v>326</v>
      </c>
      <c r="B13" s="61" t="s">
        <v>326</v>
      </c>
      <c r="C13" s="61">
        <v>9.677298275E9</v>
      </c>
      <c r="D13" s="61" t="s">
        <v>89</v>
      </c>
      <c r="E13" s="61" t="s">
        <v>327</v>
      </c>
      <c r="F13" s="61" t="s">
        <v>327</v>
      </c>
      <c r="G13" s="68" t="s">
        <v>929</v>
      </c>
      <c r="H13" s="61" t="s">
        <v>930</v>
      </c>
      <c r="I13" s="61" t="s">
        <v>880</v>
      </c>
      <c r="J13" s="61" t="s">
        <v>913</v>
      </c>
      <c r="K13" s="61" t="s">
        <v>887</v>
      </c>
      <c r="L13" s="62"/>
      <c r="M13" s="62"/>
      <c r="N13" s="62"/>
      <c r="O13" s="61" t="s">
        <v>886</v>
      </c>
      <c r="P13" s="61" t="s">
        <v>886</v>
      </c>
      <c r="Q13" s="61" t="s">
        <v>886</v>
      </c>
      <c r="R13" s="61" t="s">
        <v>914</v>
      </c>
      <c r="S13" s="71"/>
      <c r="T13" s="62"/>
      <c r="U13" s="65"/>
      <c r="V13" s="65"/>
      <c r="W13" s="66"/>
      <c r="X13" s="66"/>
      <c r="Y13" s="66"/>
      <c r="Z13" s="66"/>
      <c r="AA13" s="66"/>
      <c r="AB13" s="66"/>
      <c r="AC13" s="66"/>
      <c r="AD13" s="66"/>
      <c r="AE13" s="66"/>
    </row>
    <row r="14">
      <c r="A14" s="61" t="s">
        <v>424</v>
      </c>
      <c r="B14" s="61" t="s">
        <v>424</v>
      </c>
      <c r="C14" s="61">
        <v>9.962547616E9</v>
      </c>
      <c r="D14" s="61" t="s">
        <v>89</v>
      </c>
      <c r="E14" s="61" t="s">
        <v>425</v>
      </c>
      <c r="F14" s="61" t="s">
        <v>425</v>
      </c>
      <c r="G14" s="68" t="s">
        <v>931</v>
      </c>
      <c r="H14" s="61">
        <v>5.0</v>
      </c>
      <c r="I14" s="61" t="s">
        <v>880</v>
      </c>
      <c r="J14" s="61" t="s">
        <v>913</v>
      </c>
      <c r="K14" s="61" t="s">
        <v>887</v>
      </c>
      <c r="L14" s="61" t="s">
        <v>932</v>
      </c>
      <c r="M14" s="61" t="s">
        <v>933</v>
      </c>
      <c r="N14" s="61" t="s">
        <v>885</v>
      </c>
      <c r="O14" s="61" t="s">
        <v>886</v>
      </c>
      <c r="P14" s="61" t="s">
        <v>886</v>
      </c>
      <c r="Q14" s="61" t="s">
        <v>886</v>
      </c>
      <c r="R14" s="61" t="s">
        <v>914</v>
      </c>
      <c r="S14" s="71"/>
      <c r="T14" s="62"/>
      <c r="U14" s="65"/>
      <c r="V14" s="65"/>
      <c r="W14" s="66"/>
      <c r="X14" s="66"/>
      <c r="Y14" s="66"/>
      <c r="Z14" s="66"/>
      <c r="AA14" s="66"/>
      <c r="AB14" s="66"/>
      <c r="AC14" s="66"/>
      <c r="AD14" s="66"/>
      <c r="AE14" s="66"/>
    </row>
    <row r="15">
      <c r="A15" s="61" t="s">
        <v>428</v>
      </c>
      <c r="B15" s="61" t="s">
        <v>428</v>
      </c>
      <c r="C15" s="61">
        <v>9.444853679E9</v>
      </c>
      <c r="D15" s="61" t="s">
        <v>89</v>
      </c>
      <c r="E15" s="61" t="s">
        <v>934</v>
      </c>
      <c r="F15" s="61" t="s">
        <v>934</v>
      </c>
      <c r="G15" s="68" t="s">
        <v>935</v>
      </c>
      <c r="H15" s="61">
        <v>3.0</v>
      </c>
      <c r="I15" s="61" t="s">
        <v>880</v>
      </c>
      <c r="J15" s="61" t="s">
        <v>913</v>
      </c>
      <c r="K15" s="61" t="s">
        <v>887</v>
      </c>
      <c r="L15" s="61" t="s">
        <v>936</v>
      </c>
      <c r="M15" s="61" t="s">
        <v>937</v>
      </c>
      <c r="N15" s="61" t="s">
        <v>885</v>
      </c>
      <c r="O15" s="61" t="s">
        <v>886</v>
      </c>
      <c r="P15" s="61" t="s">
        <v>886</v>
      </c>
      <c r="Q15" s="61" t="s">
        <v>886</v>
      </c>
      <c r="R15" s="61" t="s">
        <v>914</v>
      </c>
      <c r="S15" s="71"/>
      <c r="T15" s="62"/>
      <c r="U15" s="65"/>
      <c r="V15" s="65"/>
      <c r="W15" s="66"/>
      <c r="X15" s="66"/>
      <c r="Y15" s="66"/>
      <c r="Z15" s="66"/>
      <c r="AA15" s="66"/>
      <c r="AB15" s="66"/>
      <c r="AC15" s="66"/>
      <c r="AD15" s="66"/>
      <c r="AE15" s="66"/>
    </row>
    <row r="16">
      <c r="A16" s="61" t="s">
        <v>430</v>
      </c>
      <c r="B16" s="61" t="s">
        <v>430</v>
      </c>
      <c r="C16" s="61">
        <v>9.841826973E9</v>
      </c>
      <c r="D16" s="61" t="s">
        <v>89</v>
      </c>
      <c r="E16" s="61" t="s">
        <v>42</v>
      </c>
      <c r="F16" s="61" t="s">
        <v>42</v>
      </c>
      <c r="G16" s="68" t="s">
        <v>938</v>
      </c>
      <c r="H16" s="61" t="s">
        <v>939</v>
      </c>
      <c r="I16" s="61" t="s">
        <v>880</v>
      </c>
      <c r="J16" s="61" t="s">
        <v>913</v>
      </c>
      <c r="K16" s="61" t="s">
        <v>887</v>
      </c>
      <c r="L16" s="61" t="s">
        <v>940</v>
      </c>
      <c r="M16" s="61" t="s">
        <v>941</v>
      </c>
      <c r="N16" s="61" t="s">
        <v>885</v>
      </c>
      <c r="O16" s="61" t="s">
        <v>886</v>
      </c>
      <c r="P16" s="61" t="s">
        <v>886</v>
      </c>
      <c r="Q16" s="61" t="s">
        <v>886</v>
      </c>
      <c r="R16" s="61" t="s">
        <v>914</v>
      </c>
      <c r="S16" s="71"/>
      <c r="T16" s="62"/>
      <c r="U16" s="65"/>
      <c r="V16" s="65"/>
      <c r="W16" s="66"/>
      <c r="X16" s="66"/>
      <c r="Y16" s="66"/>
      <c r="Z16" s="66"/>
      <c r="AA16" s="66"/>
      <c r="AB16" s="66"/>
      <c r="AC16" s="66"/>
      <c r="AD16" s="66"/>
      <c r="AE16" s="66"/>
    </row>
    <row r="17">
      <c r="A17" s="61" t="s">
        <v>432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71"/>
      <c r="T17" s="62"/>
      <c r="U17" s="65"/>
      <c r="V17" s="65"/>
      <c r="W17" s="66"/>
      <c r="X17" s="66"/>
      <c r="Y17" s="66"/>
      <c r="Z17" s="66"/>
      <c r="AA17" s="66"/>
      <c r="AB17" s="66"/>
      <c r="AC17" s="66"/>
      <c r="AD17" s="66"/>
      <c r="AE17" s="66"/>
    </row>
    <row r="18">
      <c r="A18" s="61" t="s">
        <v>434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71"/>
      <c r="T18" s="62"/>
      <c r="U18" s="65"/>
      <c r="V18" s="65"/>
      <c r="W18" s="66"/>
      <c r="X18" s="66"/>
      <c r="Y18" s="66"/>
      <c r="Z18" s="66"/>
      <c r="AA18" s="66"/>
      <c r="AB18" s="66"/>
      <c r="AC18" s="66"/>
      <c r="AD18" s="66"/>
      <c r="AE18" s="66"/>
    </row>
    <row r="19">
      <c r="A19" s="61" t="s">
        <v>436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71"/>
      <c r="T19" s="62"/>
      <c r="U19" s="65"/>
      <c r="V19" s="65"/>
      <c r="W19" s="66"/>
      <c r="X19" s="66"/>
      <c r="Y19" s="66"/>
      <c r="Z19" s="66"/>
      <c r="AA19" s="66"/>
      <c r="AB19" s="66"/>
      <c r="AC19" s="66"/>
      <c r="AD19" s="66"/>
      <c r="AE19" s="66"/>
    </row>
    <row r="20">
      <c r="A20" s="61" t="s">
        <v>438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71"/>
      <c r="T20" s="62"/>
      <c r="U20" s="65"/>
      <c r="V20" s="65"/>
      <c r="W20" s="66"/>
      <c r="X20" s="66"/>
      <c r="Y20" s="66"/>
      <c r="Z20" s="66"/>
      <c r="AA20" s="66"/>
      <c r="AB20" s="66"/>
      <c r="AC20" s="66"/>
      <c r="AD20" s="66"/>
      <c r="AE20" s="66"/>
    </row>
    <row r="21">
      <c r="A21" s="61" t="s">
        <v>440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71"/>
      <c r="T21" s="62"/>
      <c r="U21" s="65"/>
      <c r="V21" s="65"/>
      <c r="W21" s="66"/>
      <c r="X21" s="66"/>
      <c r="Y21" s="66"/>
      <c r="Z21" s="66"/>
      <c r="AA21" s="66"/>
      <c r="AB21" s="66"/>
      <c r="AC21" s="66"/>
      <c r="AD21" s="66"/>
      <c r="AE21" s="66"/>
    </row>
    <row r="22">
      <c r="A22" s="61" t="s">
        <v>442</v>
      </c>
      <c r="B22" s="61" t="s">
        <v>942</v>
      </c>
      <c r="C22" s="62"/>
      <c r="D22" s="62"/>
      <c r="E22" s="62"/>
      <c r="F22" s="62"/>
      <c r="G22" s="62"/>
      <c r="H22" s="61" t="s">
        <v>943</v>
      </c>
      <c r="I22" s="61" t="s">
        <v>880</v>
      </c>
      <c r="J22" s="61" t="s">
        <v>910</v>
      </c>
      <c r="K22" s="61" t="s">
        <v>882</v>
      </c>
      <c r="L22" s="61" t="s">
        <v>944</v>
      </c>
      <c r="M22" s="61" t="s">
        <v>945</v>
      </c>
      <c r="N22" s="61" t="s">
        <v>885</v>
      </c>
      <c r="O22" s="61" t="s">
        <v>899</v>
      </c>
      <c r="P22" s="61" t="s">
        <v>886</v>
      </c>
      <c r="Q22" s="61" t="s">
        <v>899</v>
      </c>
      <c r="R22" s="61" t="s">
        <v>899</v>
      </c>
      <c r="S22" s="71"/>
      <c r="T22" s="62"/>
      <c r="U22" s="65"/>
      <c r="V22" s="65"/>
      <c r="W22" s="66"/>
      <c r="X22" s="66"/>
      <c r="Y22" s="66"/>
      <c r="Z22" s="66"/>
      <c r="AA22" s="66"/>
      <c r="AB22" s="66"/>
      <c r="AC22" s="66"/>
      <c r="AD22" s="66"/>
      <c r="AE22" s="66"/>
    </row>
    <row r="23">
      <c r="A23" s="61" t="s">
        <v>318</v>
      </c>
      <c r="B23" s="61" t="s">
        <v>946</v>
      </c>
      <c r="C23" s="62"/>
      <c r="D23" s="62"/>
      <c r="E23" s="61" t="s">
        <v>116</v>
      </c>
      <c r="F23" s="61" t="s">
        <v>116</v>
      </c>
      <c r="G23" s="62"/>
      <c r="H23" s="61" t="s">
        <v>947</v>
      </c>
      <c r="I23" s="61" t="s">
        <v>880</v>
      </c>
      <c r="J23" s="61" t="s">
        <v>948</v>
      </c>
      <c r="K23" s="61" t="s">
        <v>882</v>
      </c>
      <c r="L23" s="61" t="s">
        <v>949</v>
      </c>
      <c r="M23" s="61" t="s">
        <v>950</v>
      </c>
      <c r="N23" s="61" t="s">
        <v>885</v>
      </c>
      <c r="O23" s="61" t="s">
        <v>886</v>
      </c>
      <c r="P23" s="61" t="s">
        <v>886</v>
      </c>
      <c r="Q23" s="61" t="s">
        <v>886</v>
      </c>
      <c r="R23" s="61" t="s">
        <v>886</v>
      </c>
      <c r="S23" s="71"/>
      <c r="T23" s="62"/>
      <c r="U23" s="65"/>
      <c r="V23" s="65"/>
      <c r="W23" s="66"/>
      <c r="X23" s="66"/>
      <c r="Y23" s="66"/>
      <c r="Z23" s="66"/>
      <c r="AA23" s="66"/>
      <c r="AB23" s="66"/>
      <c r="AC23" s="66"/>
      <c r="AD23" s="66"/>
      <c r="AE23" s="66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71"/>
      <c r="T24" s="62"/>
      <c r="U24" s="65"/>
      <c r="V24" s="65"/>
      <c r="W24" s="66"/>
      <c r="X24" s="66"/>
      <c r="Y24" s="66"/>
      <c r="Z24" s="66"/>
      <c r="AA24" s="66"/>
      <c r="AB24" s="66"/>
      <c r="AC24" s="66"/>
      <c r="AD24" s="66"/>
      <c r="AE24" s="66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71"/>
      <c r="T25" s="62"/>
      <c r="U25" s="65"/>
      <c r="V25" s="65"/>
      <c r="W25" s="66"/>
      <c r="X25" s="66"/>
      <c r="Y25" s="66"/>
      <c r="Z25" s="66"/>
      <c r="AA25" s="66"/>
      <c r="AB25" s="66"/>
      <c r="AC25" s="66"/>
      <c r="AD25" s="66"/>
      <c r="AE25" s="66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71"/>
      <c r="T26" s="62"/>
      <c r="U26" s="65"/>
      <c r="V26" s="65"/>
      <c r="W26" s="66"/>
      <c r="X26" s="66"/>
      <c r="Y26" s="66"/>
      <c r="Z26" s="66"/>
      <c r="AA26" s="66"/>
      <c r="AB26" s="66"/>
      <c r="AC26" s="66"/>
      <c r="AD26" s="66"/>
      <c r="AE26" s="66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71"/>
      <c r="T27" s="62"/>
      <c r="U27" s="65"/>
      <c r="V27" s="65"/>
      <c r="W27" s="66"/>
      <c r="X27" s="66"/>
      <c r="Y27" s="66"/>
      <c r="Z27" s="66"/>
      <c r="AA27" s="66"/>
      <c r="AB27" s="66"/>
      <c r="AC27" s="66"/>
      <c r="AD27" s="66"/>
      <c r="AE27" s="66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71"/>
      <c r="T28" s="62"/>
      <c r="U28" s="65"/>
      <c r="V28" s="65"/>
      <c r="W28" s="66"/>
      <c r="X28" s="66"/>
      <c r="Y28" s="66"/>
      <c r="Z28" s="66"/>
      <c r="AA28" s="66"/>
      <c r="AB28" s="66"/>
      <c r="AC28" s="66"/>
      <c r="AD28" s="66"/>
      <c r="AE28" s="66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71"/>
      <c r="T29" s="62"/>
      <c r="U29" s="65"/>
      <c r="V29" s="65"/>
      <c r="W29" s="66"/>
      <c r="X29" s="66"/>
      <c r="Y29" s="66"/>
      <c r="Z29" s="66"/>
      <c r="AA29" s="66"/>
      <c r="AB29" s="66"/>
      <c r="AC29" s="66"/>
      <c r="AD29" s="66"/>
      <c r="AE29" s="66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71"/>
      <c r="T30" s="62"/>
      <c r="U30" s="65"/>
      <c r="V30" s="65"/>
      <c r="W30" s="66"/>
      <c r="X30" s="66"/>
      <c r="Y30" s="66"/>
      <c r="Z30" s="66"/>
      <c r="AA30" s="66"/>
      <c r="AB30" s="66"/>
      <c r="AC30" s="66"/>
      <c r="AD30" s="66"/>
      <c r="AE30" s="66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71"/>
      <c r="T31" s="62"/>
      <c r="U31" s="65"/>
      <c r="V31" s="65"/>
      <c r="W31" s="66"/>
      <c r="X31" s="66"/>
      <c r="Y31" s="66"/>
      <c r="Z31" s="66"/>
      <c r="AA31" s="66"/>
      <c r="AB31" s="66"/>
      <c r="AC31" s="66"/>
      <c r="AD31" s="66"/>
      <c r="AE31" s="66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71"/>
      <c r="T32" s="62"/>
      <c r="U32" s="65"/>
      <c r="V32" s="65"/>
      <c r="W32" s="66"/>
      <c r="X32" s="66"/>
      <c r="Y32" s="66"/>
      <c r="Z32" s="66"/>
      <c r="AA32" s="66"/>
      <c r="AB32" s="66"/>
      <c r="AC32" s="66"/>
      <c r="AD32" s="66"/>
      <c r="AE32" s="66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71"/>
      <c r="T33" s="62"/>
      <c r="U33" s="65"/>
      <c r="V33" s="65"/>
      <c r="W33" s="66"/>
      <c r="X33" s="66"/>
      <c r="Y33" s="66"/>
      <c r="Z33" s="66"/>
      <c r="AA33" s="66"/>
      <c r="AB33" s="66"/>
      <c r="AC33" s="66"/>
      <c r="AD33" s="66"/>
      <c r="AE33" s="66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71"/>
      <c r="T34" s="62"/>
      <c r="U34" s="65"/>
      <c r="V34" s="65"/>
      <c r="W34" s="66"/>
      <c r="X34" s="66"/>
      <c r="Y34" s="66"/>
      <c r="Z34" s="66"/>
      <c r="AA34" s="66"/>
      <c r="AB34" s="66"/>
      <c r="AC34" s="66"/>
      <c r="AD34" s="66"/>
      <c r="AE34" s="66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71"/>
      <c r="T35" s="62"/>
      <c r="U35" s="65"/>
      <c r="V35" s="65"/>
      <c r="W35" s="66"/>
      <c r="X35" s="66"/>
      <c r="Y35" s="66"/>
      <c r="Z35" s="66"/>
      <c r="AA35" s="66"/>
      <c r="AB35" s="66"/>
      <c r="AC35" s="66"/>
      <c r="AD35" s="66"/>
      <c r="AE35" s="66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71"/>
      <c r="T36" s="62"/>
      <c r="U36" s="65"/>
      <c r="V36" s="65"/>
      <c r="W36" s="66"/>
      <c r="X36" s="66"/>
      <c r="Y36" s="66"/>
      <c r="Z36" s="66"/>
      <c r="AA36" s="66"/>
      <c r="AB36" s="66"/>
      <c r="AC36" s="66"/>
      <c r="AD36" s="66"/>
      <c r="AE36" s="66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71"/>
      <c r="T37" s="62"/>
      <c r="U37" s="65"/>
      <c r="V37" s="65"/>
      <c r="W37" s="66"/>
      <c r="X37" s="66"/>
      <c r="Y37" s="66"/>
      <c r="Z37" s="66"/>
      <c r="AA37" s="66"/>
      <c r="AB37" s="66"/>
      <c r="AC37" s="66"/>
      <c r="AD37" s="66"/>
      <c r="AE37" s="66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71"/>
      <c r="T38" s="62"/>
      <c r="U38" s="65"/>
      <c r="V38" s="65"/>
      <c r="W38" s="66"/>
      <c r="X38" s="66"/>
      <c r="Y38" s="66"/>
      <c r="Z38" s="66"/>
      <c r="AA38" s="66"/>
      <c r="AB38" s="66"/>
      <c r="AC38" s="66"/>
      <c r="AD38" s="66"/>
      <c r="AE38" s="66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71"/>
      <c r="T39" s="62"/>
      <c r="U39" s="65"/>
      <c r="V39" s="65"/>
      <c r="W39" s="66"/>
      <c r="X39" s="66"/>
      <c r="Y39" s="66"/>
      <c r="Z39" s="66"/>
      <c r="AA39" s="66"/>
      <c r="AB39" s="66"/>
      <c r="AC39" s="66"/>
      <c r="AD39" s="66"/>
      <c r="AE39" s="66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71"/>
      <c r="T40" s="62"/>
      <c r="U40" s="65"/>
      <c r="V40" s="65"/>
      <c r="W40" s="66"/>
      <c r="X40" s="66"/>
      <c r="Y40" s="66"/>
      <c r="Z40" s="66"/>
      <c r="AA40" s="66"/>
      <c r="AB40" s="66"/>
      <c r="AC40" s="66"/>
      <c r="AD40" s="66"/>
      <c r="AE40" s="66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71"/>
      <c r="T41" s="62"/>
      <c r="U41" s="65"/>
      <c r="V41" s="65"/>
      <c r="W41" s="66"/>
      <c r="X41" s="66"/>
      <c r="Y41" s="66"/>
      <c r="Z41" s="66"/>
      <c r="AA41" s="66"/>
      <c r="AB41" s="66"/>
      <c r="AC41" s="66"/>
      <c r="AD41" s="66"/>
      <c r="AE41" s="66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71"/>
      <c r="T42" s="62"/>
      <c r="U42" s="65"/>
      <c r="V42" s="65"/>
      <c r="W42" s="66"/>
      <c r="X42" s="66"/>
      <c r="Y42" s="66"/>
      <c r="Z42" s="66"/>
      <c r="AA42" s="66"/>
      <c r="AB42" s="66"/>
      <c r="AC42" s="66"/>
      <c r="AD42" s="66"/>
      <c r="AE42" s="66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71"/>
      <c r="T43" s="62"/>
      <c r="U43" s="65"/>
      <c r="V43" s="65"/>
      <c r="W43" s="66"/>
      <c r="X43" s="66"/>
      <c r="Y43" s="66"/>
      <c r="Z43" s="66"/>
      <c r="AA43" s="66"/>
      <c r="AB43" s="66"/>
      <c r="AC43" s="66"/>
      <c r="AD43" s="66"/>
      <c r="AE43" s="66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71"/>
      <c r="T44" s="62"/>
      <c r="U44" s="65"/>
      <c r="V44" s="65"/>
      <c r="W44" s="66"/>
      <c r="X44" s="66"/>
      <c r="Y44" s="66"/>
      <c r="Z44" s="66"/>
      <c r="AA44" s="66"/>
      <c r="AB44" s="66"/>
      <c r="AC44" s="66"/>
      <c r="AD44" s="66"/>
      <c r="AE44" s="66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71"/>
      <c r="T45" s="62"/>
      <c r="U45" s="65"/>
      <c r="V45" s="65"/>
      <c r="W45" s="66"/>
      <c r="X45" s="66"/>
      <c r="Y45" s="66"/>
      <c r="Z45" s="66"/>
      <c r="AA45" s="66"/>
      <c r="AB45" s="66"/>
      <c r="AC45" s="66"/>
      <c r="AD45" s="66"/>
      <c r="AE45" s="66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71"/>
      <c r="T46" s="62"/>
      <c r="U46" s="65"/>
      <c r="V46" s="65"/>
      <c r="W46" s="66"/>
      <c r="X46" s="66"/>
      <c r="Y46" s="66"/>
      <c r="Z46" s="66"/>
      <c r="AA46" s="66"/>
      <c r="AB46" s="66"/>
      <c r="AC46" s="66"/>
      <c r="AD46" s="66"/>
      <c r="AE46" s="66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71"/>
      <c r="T47" s="62"/>
      <c r="U47" s="65"/>
      <c r="V47" s="65"/>
      <c r="W47" s="66"/>
      <c r="X47" s="66"/>
      <c r="Y47" s="66"/>
      <c r="Z47" s="66"/>
      <c r="AA47" s="66"/>
      <c r="AB47" s="66"/>
      <c r="AC47" s="66"/>
      <c r="AD47" s="66"/>
      <c r="AE47" s="66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71"/>
      <c r="T48" s="62"/>
      <c r="U48" s="65"/>
      <c r="V48" s="65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71"/>
      <c r="T49" s="62"/>
      <c r="U49" s="65"/>
      <c r="V49" s="65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71"/>
      <c r="T50" s="62"/>
      <c r="U50" s="65"/>
      <c r="V50" s="65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71"/>
      <c r="T51" s="62"/>
      <c r="U51" s="65"/>
      <c r="V51" s="65"/>
      <c r="W51" s="66"/>
      <c r="X51" s="66"/>
      <c r="Y51" s="66"/>
      <c r="Z51" s="66"/>
      <c r="AA51" s="66"/>
      <c r="AB51" s="66"/>
      <c r="AC51" s="66"/>
      <c r="AD51" s="66"/>
      <c r="AE51" s="66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71"/>
      <c r="T52" s="62"/>
      <c r="U52" s="65"/>
      <c r="V52" s="65"/>
      <c r="W52" s="66"/>
      <c r="X52" s="66"/>
      <c r="Y52" s="66"/>
      <c r="Z52" s="66"/>
      <c r="AA52" s="66"/>
      <c r="AB52" s="66"/>
      <c r="AC52" s="66"/>
      <c r="AD52" s="66"/>
      <c r="AE52" s="66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71"/>
      <c r="T53" s="62"/>
      <c r="U53" s="65"/>
      <c r="V53" s="65"/>
      <c r="W53" s="66"/>
      <c r="X53" s="66"/>
      <c r="Y53" s="66"/>
      <c r="Z53" s="66"/>
      <c r="AA53" s="66"/>
      <c r="AB53" s="66"/>
      <c r="AC53" s="66"/>
      <c r="AD53" s="66"/>
      <c r="AE53" s="66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71"/>
      <c r="T54" s="62"/>
      <c r="U54" s="65"/>
      <c r="V54" s="65"/>
      <c r="W54" s="66"/>
      <c r="X54" s="66"/>
      <c r="Y54" s="66"/>
      <c r="Z54" s="66"/>
      <c r="AA54" s="66"/>
      <c r="AB54" s="66"/>
      <c r="AC54" s="66"/>
      <c r="AD54" s="66"/>
      <c r="AE54" s="66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71"/>
      <c r="T55" s="62"/>
      <c r="U55" s="65"/>
      <c r="V55" s="65"/>
      <c r="W55" s="66"/>
      <c r="X55" s="66"/>
      <c r="Y55" s="66"/>
      <c r="Z55" s="66"/>
      <c r="AA55" s="66"/>
      <c r="AB55" s="66"/>
      <c r="AC55" s="66"/>
      <c r="AD55" s="66"/>
      <c r="AE55" s="66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71"/>
      <c r="T56" s="62"/>
      <c r="U56" s="65"/>
      <c r="V56" s="65"/>
      <c r="W56" s="66"/>
      <c r="X56" s="66"/>
      <c r="Y56" s="66"/>
      <c r="Z56" s="66"/>
      <c r="AA56" s="66"/>
      <c r="AB56" s="66"/>
      <c r="AC56" s="66"/>
      <c r="AD56" s="66"/>
      <c r="AE56" s="66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71"/>
      <c r="T57" s="62"/>
      <c r="U57" s="65"/>
      <c r="V57" s="65"/>
      <c r="W57" s="66"/>
      <c r="X57" s="66"/>
      <c r="Y57" s="66"/>
      <c r="Z57" s="66"/>
      <c r="AA57" s="66"/>
      <c r="AB57" s="66"/>
      <c r="AC57" s="66"/>
      <c r="AD57" s="66"/>
      <c r="AE57" s="66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71"/>
      <c r="T58" s="62"/>
      <c r="U58" s="65"/>
      <c r="V58" s="65"/>
      <c r="W58" s="66"/>
      <c r="X58" s="66"/>
      <c r="Y58" s="66"/>
      <c r="Z58" s="66"/>
      <c r="AA58" s="66"/>
      <c r="AB58" s="66"/>
      <c r="AC58" s="66"/>
      <c r="AD58" s="66"/>
      <c r="AE58" s="66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71"/>
      <c r="T59" s="62"/>
      <c r="U59" s="65"/>
      <c r="V59" s="65"/>
      <c r="W59" s="66"/>
      <c r="X59" s="66"/>
      <c r="Y59" s="66"/>
      <c r="Z59" s="66"/>
      <c r="AA59" s="66"/>
      <c r="AB59" s="66"/>
      <c r="AC59" s="66"/>
      <c r="AD59" s="66"/>
      <c r="AE59" s="66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71"/>
      <c r="T60" s="62"/>
      <c r="U60" s="65"/>
      <c r="V60" s="65"/>
      <c r="W60" s="66"/>
      <c r="X60" s="66"/>
      <c r="Y60" s="66"/>
      <c r="Z60" s="66"/>
      <c r="AA60" s="66"/>
      <c r="AB60" s="66"/>
      <c r="AC60" s="66"/>
      <c r="AD60" s="66"/>
      <c r="AE60" s="66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71"/>
      <c r="T61" s="62"/>
      <c r="U61" s="65"/>
      <c r="V61" s="65"/>
      <c r="W61" s="66"/>
      <c r="X61" s="66"/>
      <c r="Y61" s="66"/>
      <c r="Z61" s="66"/>
      <c r="AA61" s="66"/>
      <c r="AB61" s="66"/>
      <c r="AC61" s="66"/>
      <c r="AD61" s="66"/>
      <c r="AE61" s="66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71"/>
      <c r="T62" s="62"/>
      <c r="U62" s="65"/>
      <c r="V62" s="65"/>
      <c r="W62" s="66"/>
      <c r="X62" s="66"/>
      <c r="Y62" s="66"/>
      <c r="Z62" s="66"/>
      <c r="AA62" s="66"/>
      <c r="AB62" s="66"/>
      <c r="AC62" s="66"/>
      <c r="AD62" s="66"/>
      <c r="AE62" s="66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71"/>
      <c r="T63" s="62"/>
      <c r="U63" s="65"/>
      <c r="V63" s="65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71"/>
      <c r="T64" s="62"/>
      <c r="U64" s="65"/>
      <c r="V64" s="65"/>
      <c r="W64" s="66"/>
      <c r="X64" s="66"/>
      <c r="Y64" s="66"/>
      <c r="Z64" s="66"/>
      <c r="AA64" s="66"/>
      <c r="AB64" s="66"/>
      <c r="AC64" s="66"/>
      <c r="AD64" s="66"/>
      <c r="AE64" s="66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71"/>
      <c r="T65" s="62"/>
      <c r="U65" s="65"/>
      <c r="V65" s="65"/>
      <c r="W65" s="66"/>
      <c r="X65" s="66"/>
      <c r="Y65" s="66"/>
      <c r="Z65" s="66"/>
      <c r="AA65" s="66"/>
      <c r="AB65" s="66"/>
      <c r="AC65" s="66"/>
      <c r="AD65" s="66"/>
      <c r="AE65" s="66"/>
    </row>
    <row r="66">
      <c r="A66" s="61"/>
      <c r="B66" s="61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71"/>
      <c r="T66" s="62"/>
      <c r="U66" s="65"/>
      <c r="V66" s="65"/>
      <c r="W66" s="66"/>
      <c r="X66" s="66"/>
      <c r="Y66" s="66"/>
      <c r="Z66" s="66"/>
      <c r="AA66" s="66"/>
      <c r="AB66" s="66"/>
      <c r="AC66" s="66"/>
      <c r="AD66" s="66"/>
      <c r="AE66" s="66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71"/>
      <c r="T67" s="62"/>
      <c r="U67" s="65"/>
      <c r="V67" s="65"/>
      <c r="W67" s="66"/>
      <c r="X67" s="66"/>
      <c r="Y67" s="66"/>
      <c r="Z67" s="66"/>
      <c r="AA67" s="66"/>
      <c r="AB67" s="66"/>
      <c r="AC67" s="66"/>
      <c r="AD67" s="66"/>
      <c r="AE67" s="66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71"/>
      <c r="T68" s="62"/>
      <c r="U68" s="65"/>
      <c r="V68" s="65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71"/>
      <c r="T69" s="62"/>
      <c r="U69" s="65"/>
      <c r="V69" s="65"/>
      <c r="W69" s="66"/>
      <c r="X69" s="66"/>
      <c r="Y69" s="66"/>
      <c r="Z69" s="66"/>
      <c r="AA69" s="66"/>
      <c r="AB69" s="66"/>
      <c r="AC69" s="66"/>
      <c r="AD69" s="66"/>
      <c r="AE69" s="66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71"/>
      <c r="T70" s="62"/>
      <c r="U70" s="65"/>
      <c r="V70" s="65"/>
      <c r="W70" s="66"/>
      <c r="X70" s="66"/>
      <c r="Y70" s="66"/>
      <c r="Z70" s="66"/>
      <c r="AA70" s="66"/>
      <c r="AB70" s="66"/>
      <c r="AC70" s="66"/>
      <c r="AD70" s="66"/>
      <c r="AE70" s="66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71"/>
      <c r="T71" s="62"/>
      <c r="U71" s="65"/>
      <c r="V71" s="65"/>
      <c r="W71" s="66"/>
      <c r="X71" s="66"/>
      <c r="Y71" s="66"/>
      <c r="Z71" s="66"/>
      <c r="AA71" s="66"/>
      <c r="AB71" s="66"/>
      <c r="AC71" s="66"/>
      <c r="AD71" s="66"/>
      <c r="AE71" s="66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71"/>
      <c r="T72" s="62"/>
      <c r="U72" s="65"/>
      <c r="V72" s="65"/>
      <c r="W72" s="66"/>
      <c r="X72" s="66"/>
      <c r="Y72" s="66"/>
      <c r="Z72" s="66"/>
      <c r="AA72" s="66"/>
      <c r="AB72" s="66"/>
      <c r="AC72" s="66"/>
      <c r="AD72" s="66"/>
      <c r="AE72" s="66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71"/>
      <c r="T73" s="62"/>
      <c r="U73" s="65"/>
      <c r="V73" s="65"/>
      <c r="W73" s="66"/>
      <c r="X73" s="66"/>
      <c r="Y73" s="66"/>
      <c r="Z73" s="66"/>
      <c r="AA73" s="66"/>
      <c r="AB73" s="66"/>
      <c r="AC73" s="66"/>
      <c r="AD73" s="66"/>
      <c r="AE73" s="66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71"/>
      <c r="T74" s="62"/>
      <c r="U74" s="65"/>
      <c r="V74" s="65"/>
      <c r="W74" s="66"/>
      <c r="X74" s="66"/>
      <c r="Y74" s="66"/>
      <c r="Z74" s="66"/>
      <c r="AA74" s="66"/>
      <c r="AB74" s="66"/>
      <c r="AC74" s="66"/>
      <c r="AD74" s="66"/>
      <c r="AE74" s="66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71"/>
      <c r="T75" s="62"/>
      <c r="U75" s="65"/>
      <c r="V75" s="65"/>
      <c r="W75" s="66"/>
      <c r="X75" s="66"/>
      <c r="Y75" s="66"/>
      <c r="Z75" s="66"/>
      <c r="AA75" s="66"/>
      <c r="AB75" s="66"/>
      <c r="AC75" s="66"/>
      <c r="AD75" s="66"/>
      <c r="AE75" s="66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71"/>
      <c r="T76" s="62"/>
      <c r="U76" s="65"/>
      <c r="V76" s="65"/>
      <c r="W76" s="66"/>
      <c r="X76" s="66"/>
      <c r="Y76" s="66"/>
      <c r="Z76" s="66"/>
      <c r="AA76" s="66"/>
      <c r="AB76" s="66"/>
      <c r="AC76" s="66"/>
      <c r="AD76" s="66"/>
      <c r="AE76" s="66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71"/>
      <c r="T77" s="62"/>
      <c r="U77" s="65"/>
      <c r="V77" s="65"/>
      <c r="W77" s="66"/>
      <c r="X77" s="66"/>
      <c r="Y77" s="66"/>
      <c r="Z77" s="66"/>
      <c r="AA77" s="66"/>
      <c r="AB77" s="66"/>
      <c r="AC77" s="66"/>
      <c r="AD77" s="66"/>
      <c r="AE77" s="66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71"/>
      <c r="T78" s="62"/>
      <c r="U78" s="65"/>
      <c r="V78" s="65"/>
      <c r="W78" s="66"/>
      <c r="X78" s="66"/>
      <c r="Y78" s="66"/>
      <c r="Z78" s="66"/>
      <c r="AA78" s="66"/>
      <c r="AB78" s="66"/>
      <c r="AC78" s="66"/>
      <c r="AD78" s="66"/>
      <c r="AE78" s="66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71"/>
      <c r="T79" s="62"/>
      <c r="U79" s="65"/>
      <c r="V79" s="65"/>
      <c r="W79" s="66"/>
      <c r="X79" s="66"/>
      <c r="Y79" s="66"/>
      <c r="Z79" s="66"/>
      <c r="AA79" s="66"/>
      <c r="AB79" s="66"/>
      <c r="AC79" s="66"/>
      <c r="AD79" s="66"/>
      <c r="AE79" s="66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71"/>
      <c r="T80" s="62"/>
      <c r="U80" s="65"/>
      <c r="V80" s="65"/>
      <c r="W80" s="66"/>
      <c r="X80" s="66"/>
      <c r="Y80" s="66"/>
      <c r="Z80" s="66"/>
      <c r="AA80" s="66"/>
      <c r="AB80" s="66"/>
      <c r="AC80" s="66"/>
      <c r="AD80" s="66"/>
      <c r="AE80" s="66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71"/>
      <c r="T81" s="62"/>
      <c r="U81" s="65"/>
      <c r="V81" s="65"/>
      <c r="W81" s="66"/>
      <c r="X81" s="66"/>
      <c r="Y81" s="66"/>
      <c r="Z81" s="66"/>
      <c r="AA81" s="66"/>
      <c r="AB81" s="66"/>
      <c r="AC81" s="66"/>
      <c r="AD81" s="66"/>
      <c r="AE81" s="66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71"/>
      <c r="T82" s="62"/>
      <c r="U82" s="65"/>
      <c r="V82" s="65"/>
      <c r="W82" s="66"/>
      <c r="X82" s="66"/>
      <c r="Y82" s="66"/>
      <c r="Z82" s="66"/>
      <c r="AA82" s="66"/>
      <c r="AB82" s="66"/>
      <c r="AC82" s="66"/>
      <c r="AD82" s="66"/>
      <c r="AE82" s="66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71"/>
      <c r="T83" s="62"/>
      <c r="U83" s="65"/>
      <c r="V83" s="65"/>
      <c r="W83" s="66"/>
      <c r="X83" s="66"/>
      <c r="Y83" s="66"/>
      <c r="Z83" s="66"/>
      <c r="AA83" s="66"/>
      <c r="AB83" s="66"/>
      <c r="AC83" s="66"/>
      <c r="AD83" s="66"/>
      <c r="AE83" s="66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71"/>
      <c r="T84" s="62"/>
      <c r="U84" s="65"/>
      <c r="V84" s="65"/>
      <c r="W84" s="66"/>
      <c r="X84" s="66"/>
      <c r="Y84" s="66"/>
      <c r="Z84" s="66"/>
      <c r="AA84" s="66"/>
      <c r="AB84" s="66"/>
      <c r="AC84" s="66"/>
      <c r="AD84" s="66"/>
      <c r="AE84" s="66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71"/>
      <c r="T85" s="62"/>
      <c r="U85" s="65"/>
      <c r="V85" s="65"/>
      <c r="W85" s="66"/>
      <c r="X85" s="66"/>
      <c r="Y85" s="66"/>
      <c r="Z85" s="66"/>
      <c r="AA85" s="66"/>
      <c r="AB85" s="66"/>
      <c r="AC85" s="66"/>
      <c r="AD85" s="66"/>
      <c r="AE85" s="66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71"/>
      <c r="T86" s="62"/>
      <c r="U86" s="65"/>
      <c r="V86" s="65"/>
      <c r="W86" s="66"/>
      <c r="X86" s="66"/>
      <c r="Y86" s="66"/>
      <c r="Z86" s="66"/>
      <c r="AA86" s="66"/>
      <c r="AB86" s="66"/>
      <c r="AC86" s="66"/>
      <c r="AD86" s="66"/>
      <c r="AE86" s="66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71"/>
      <c r="T87" s="62"/>
      <c r="U87" s="65"/>
      <c r="V87" s="65"/>
      <c r="W87" s="66"/>
      <c r="X87" s="66"/>
      <c r="Y87" s="66"/>
      <c r="Z87" s="66"/>
      <c r="AA87" s="66"/>
      <c r="AB87" s="66"/>
      <c r="AC87" s="66"/>
      <c r="AD87" s="66"/>
      <c r="AE87" s="66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71"/>
      <c r="T88" s="62"/>
      <c r="U88" s="65"/>
      <c r="V88" s="65"/>
      <c r="W88" s="66"/>
      <c r="X88" s="66"/>
      <c r="Y88" s="66"/>
      <c r="Z88" s="66"/>
      <c r="AA88" s="66"/>
      <c r="AB88" s="66"/>
      <c r="AC88" s="66"/>
      <c r="AD88" s="66"/>
      <c r="AE88" s="66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71"/>
      <c r="T89" s="62"/>
      <c r="U89" s="65"/>
      <c r="V89" s="65"/>
      <c r="W89" s="66"/>
      <c r="X89" s="66"/>
      <c r="Y89" s="66"/>
      <c r="Z89" s="66"/>
      <c r="AA89" s="66"/>
      <c r="AB89" s="66"/>
      <c r="AC89" s="66"/>
      <c r="AD89" s="66"/>
      <c r="AE89" s="66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71"/>
      <c r="T90" s="62"/>
      <c r="U90" s="65"/>
      <c r="V90" s="65"/>
      <c r="W90" s="66"/>
      <c r="X90" s="66"/>
      <c r="Y90" s="66"/>
      <c r="Z90" s="66"/>
      <c r="AA90" s="66"/>
      <c r="AB90" s="66"/>
      <c r="AC90" s="66"/>
      <c r="AD90" s="66"/>
      <c r="AE90" s="66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71"/>
      <c r="T91" s="62"/>
      <c r="U91" s="65"/>
      <c r="V91" s="65"/>
      <c r="W91" s="66"/>
      <c r="X91" s="66"/>
      <c r="Y91" s="66"/>
      <c r="Z91" s="66"/>
      <c r="AA91" s="66"/>
      <c r="AB91" s="66"/>
      <c r="AC91" s="66"/>
      <c r="AD91" s="66"/>
      <c r="AE91" s="66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71"/>
      <c r="T92" s="62"/>
      <c r="U92" s="65"/>
      <c r="V92" s="65"/>
      <c r="W92" s="66"/>
      <c r="X92" s="66"/>
      <c r="Y92" s="66"/>
      <c r="Z92" s="66"/>
      <c r="AA92" s="66"/>
      <c r="AB92" s="66"/>
      <c r="AC92" s="66"/>
      <c r="AD92" s="66"/>
      <c r="AE92" s="66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71"/>
      <c r="T93" s="62"/>
      <c r="U93" s="65"/>
      <c r="V93" s="65"/>
      <c r="W93" s="66"/>
      <c r="X93" s="66"/>
      <c r="Y93" s="66"/>
      <c r="Z93" s="66"/>
      <c r="AA93" s="66"/>
      <c r="AB93" s="66"/>
      <c r="AC93" s="66"/>
      <c r="AD93" s="66"/>
      <c r="AE93" s="66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71"/>
      <c r="T94" s="62"/>
      <c r="U94" s="65"/>
      <c r="V94" s="65"/>
      <c r="W94" s="66"/>
      <c r="X94" s="66"/>
      <c r="Y94" s="66"/>
      <c r="Z94" s="66"/>
      <c r="AA94" s="66"/>
      <c r="AB94" s="66"/>
      <c r="AC94" s="66"/>
      <c r="AD94" s="66"/>
      <c r="AE94" s="66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71"/>
      <c r="T95" s="62"/>
      <c r="U95" s="65"/>
      <c r="V95" s="65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71"/>
      <c r="T96" s="62"/>
      <c r="U96" s="65"/>
      <c r="V96" s="65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71"/>
      <c r="T97" s="62"/>
      <c r="U97" s="65"/>
      <c r="V97" s="65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71"/>
      <c r="T98" s="62"/>
      <c r="U98" s="65"/>
      <c r="V98" s="65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71"/>
      <c r="T99" s="62"/>
      <c r="U99" s="65"/>
      <c r="V99" s="65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71"/>
      <c r="T100" s="62"/>
      <c r="U100" s="65"/>
      <c r="V100" s="65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71"/>
      <c r="T101" s="62"/>
      <c r="U101" s="65"/>
      <c r="V101" s="65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71"/>
      <c r="T102" s="62"/>
      <c r="U102" s="65"/>
      <c r="V102" s="65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71"/>
      <c r="T103" s="62"/>
      <c r="U103" s="65"/>
      <c r="V103" s="65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71"/>
      <c r="T104" s="62"/>
      <c r="U104" s="65"/>
      <c r="V104" s="65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71"/>
      <c r="T105" s="62"/>
      <c r="U105" s="65"/>
      <c r="V105" s="65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71"/>
      <c r="T106" s="62"/>
      <c r="U106" s="65"/>
      <c r="V106" s="65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71"/>
      <c r="T107" s="62"/>
      <c r="U107" s="65"/>
      <c r="V107" s="65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71"/>
      <c r="T108" s="62"/>
      <c r="U108" s="65"/>
      <c r="V108" s="65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71"/>
      <c r="T109" s="62"/>
      <c r="U109" s="65"/>
      <c r="V109" s="65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71"/>
      <c r="T110" s="62"/>
      <c r="U110" s="65"/>
      <c r="V110" s="65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71"/>
      <c r="T111" s="62"/>
      <c r="U111" s="65"/>
      <c r="V111" s="65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71"/>
      <c r="T112" s="62"/>
      <c r="U112" s="65"/>
      <c r="V112" s="65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71"/>
      <c r="T113" s="62"/>
      <c r="U113" s="65"/>
      <c r="V113" s="65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71"/>
      <c r="T114" s="62"/>
      <c r="U114" s="65"/>
      <c r="V114" s="65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71"/>
      <c r="T115" s="62"/>
      <c r="U115" s="65"/>
      <c r="V115" s="65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71"/>
      <c r="T116" s="62"/>
      <c r="U116" s="65"/>
      <c r="V116" s="65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71"/>
      <c r="T117" s="62"/>
      <c r="U117" s="65"/>
      <c r="V117" s="65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71"/>
      <c r="T118" s="62"/>
      <c r="U118" s="65"/>
      <c r="V118" s="65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71"/>
      <c r="T119" s="62"/>
      <c r="U119" s="65"/>
      <c r="V119" s="65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71"/>
      <c r="T120" s="62"/>
      <c r="U120" s="65"/>
      <c r="V120" s="65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71"/>
      <c r="T121" s="62"/>
      <c r="U121" s="65"/>
      <c r="V121" s="65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71"/>
      <c r="T122" s="62"/>
      <c r="U122" s="65"/>
      <c r="V122" s="65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71"/>
      <c r="T123" s="62"/>
      <c r="U123" s="65"/>
      <c r="V123" s="65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71"/>
      <c r="T124" s="62"/>
      <c r="U124" s="65"/>
      <c r="V124" s="65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71"/>
      <c r="T125" s="62"/>
      <c r="U125" s="65"/>
      <c r="V125" s="65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71"/>
      <c r="T126" s="62"/>
      <c r="U126" s="65"/>
      <c r="V126" s="65"/>
      <c r="W126" s="66"/>
      <c r="X126" s="66"/>
      <c r="Y126" s="66"/>
      <c r="Z126" s="66"/>
      <c r="AA126" s="66"/>
      <c r="AB126" s="66"/>
      <c r="AC126" s="66"/>
      <c r="AD126" s="66"/>
      <c r="AE126" s="66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71"/>
      <c r="T127" s="62"/>
      <c r="U127" s="65"/>
      <c r="V127" s="65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71"/>
      <c r="T128" s="62"/>
      <c r="U128" s="65"/>
      <c r="V128" s="65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71"/>
      <c r="T129" s="62"/>
      <c r="U129" s="65"/>
      <c r="V129" s="65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71"/>
      <c r="T130" s="62"/>
      <c r="U130" s="65"/>
      <c r="V130" s="65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71"/>
      <c r="T131" s="62"/>
      <c r="U131" s="65"/>
      <c r="V131" s="65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71"/>
      <c r="T132" s="62"/>
      <c r="U132" s="65"/>
      <c r="V132" s="65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71"/>
      <c r="T133" s="62"/>
      <c r="U133" s="65"/>
      <c r="V133" s="65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71"/>
      <c r="T134" s="62"/>
      <c r="U134" s="65"/>
      <c r="V134" s="65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71"/>
      <c r="T135" s="62"/>
      <c r="U135" s="65"/>
      <c r="V135" s="65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71"/>
      <c r="T136" s="62"/>
      <c r="U136" s="65"/>
      <c r="V136" s="65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71"/>
      <c r="T137" s="62"/>
      <c r="U137" s="65"/>
      <c r="V137" s="65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71"/>
      <c r="T138" s="62"/>
      <c r="U138" s="65"/>
      <c r="V138" s="65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71"/>
      <c r="T139" s="62"/>
      <c r="U139" s="65"/>
      <c r="V139" s="65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71"/>
      <c r="T140" s="62"/>
      <c r="U140" s="65"/>
      <c r="V140" s="65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71"/>
      <c r="T141" s="62"/>
      <c r="U141" s="65"/>
      <c r="V141" s="65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71"/>
      <c r="T142" s="62"/>
      <c r="U142" s="65"/>
      <c r="V142" s="65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71"/>
      <c r="T143" s="62"/>
      <c r="U143" s="65"/>
      <c r="V143" s="65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71"/>
      <c r="T144" s="62"/>
      <c r="U144" s="65"/>
      <c r="V144" s="65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71"/>
      <c r="T145" s="62"/>
      <c r="U145" s="65"/>
      <c r="V145" s="65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71"/>
      <c r="T146" s="62"/>
      <c r="U146" s="65"/>
      <c r="V146" s="65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71"/>
      <c r="T147" s="62"/>
      <c r="U147" s="65"/>
      <c r="V147" s="65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71"/>
      <c r="T148" s="62"/>
      <c r="U148" s="65"/>
      <c r="V148" s="65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71"/>
      <c r="T149" s="62"/>
      <c r="U149" s="65"/>
      <c r="V149" s="65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71"/>
      <c r="T150" s="62"/>
      <c r="U150" s="65"/>
      <c r="V150" s="65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71"/>
      <c r="T151" s="62"/>
      <c r="U151" s="65"/>
      <c r="V151" s="65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71"/>
      <c r="T152" s="62"/>
      <c r="U152" s="65"/>
      <c r="V152" s="65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71"/>
      <c r="T153" s="62"/>
      <c r="U153" s="65"/>
      <c r="V153" s="65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71"/>
      <c r="T154" s="62"/>
      <c r="U154" s="65"/>
      <c r="V154" s="65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71"/>
      <c r="T155" s="62"/>
      <c r="U155" s="65"/>
      <c r="V155" s="65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71"/>
      <c r="T156" s="62"/>
      <c r="U156" s="65"/>
      <c r="V156" s="65"/>
      <c r="W156" s="66"/>
      <c r="X156" s="66"/>
      <c r="Y156" s="66"/>
      <c r="Z156" s="66"/>
      <c r="AA156" s="66"/>
      <c r="AB156" s="66"/>
      <c r="AC156" s="66"/>
      <c r="AD156" s="66"/>
      <c r="AE156" s="66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71"/>
      <c r="T157" s="62"/>
      <c r="U157" s="65"/>
      <c r="V157" s="65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71"/>
      <c r="T158" s="62"/>
      <c r="U158" s="65"/>
      <c r="V158" s="65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71"/>
      <c r="T159" s="62"/>
      <c r="U159" s="65"/>
      <c r="V159" s="65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71"/>
      <c r="T160" s="62"/>
      <c r="U160" s="65"/>
      <c r="V160" s="65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71"/>
      <c r="T161" s="62"/>
      <c r="U161" s="65"/>
      <c r="V161" s="65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71"/>
      <c r="T162" s="62"/>
      <c r="U162" s="65"/>
      <c r="V162" s="65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71"/>
      <c r="T163" s="62"/>
      <c r="U163" s="65"/>
      <c r="V163" s="65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71"/>
      <c r="T164" s="62"/>
      <c r="U164" s="65"/>
      <c r="V164" s="65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71"/>
      <c r="T165" s="62"/>
      <c r="U165" s="65"/>
      <c r="V165" s="65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71"/>
      <c r="T166" s="62"/>
      <c r="U166" s="65"/>
      <c r="V166" s="65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71"/>
      <c r="T167" s="62"/>
      <c r="U167" s="65"/>
      <c r="V167" s="65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71"/>
      <c r="T168" s="62"/>
      <c r="U168" s="65"/>
      <c r="V168" s="65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71"/>
      <c r="T169" s="62"/>
      <c r="U169" s="65"/>
      <c r="V169" s="65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71"/>
      <c r="T170" s="62"/>
      <c r="U170" s="65"/>
      <c r="V170" s="65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71"/>
      <c r="T171" s="62"/>
      <c r="U171" s="65"/>
      <c r="V171" s="65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71"/>
      <c r="T172" s="62"/>
      <c r="U172" s="65"/>
      <c r="V172" s="65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71"/>
      <c r="T173" s="62"/>
      <c r="U173" s="65"/>
      <c r="V173" s="65"/>
      <c r="W173" s="66"/>
      <c r="X173" s="66"/>
      <c r="Y173" s="66"/>
      <c r="Z173" s="66"/>
      <c r="AA173" s="66"/>
      <c r="AB173" s="66"/>
      <c r="AC173" s="66"/>
      <c r="AD173" s="66"/>
      <c r="AE173" s="66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71"/>
      <c r="T174" s="62"/>
      <c r="U174" s="65"/>
      <c r="V174" s="65"/>
      <c r="W174" s="66"/>
      <c r="X174" s="66"/>
      <c r="Y174" s="66"/>
      <c r="Z174" s="66"/>
      <c r="AA174" s="66"/>
      <c r="AB174" s="66"/>
      <c r="AC174" s="66"/>
      <c r="AD174" s="66"/>
      <c r="AE174" s="66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71"/>
      <c r="T175" s="62"/>
      <c r="U175" s="65"/>
      <c r="V175" s="65"/>
      <c r="W175" s="66"/>
      <c r="X175" s="66"/>
      <c r="Y175" s="66"/>
      <c r="Z175" s="66"/>
      <c r="AA175" s="66"/>
      <c r="AB175" s="66"/>
      <c r="AC175" s="66"/>
      <c r="AD175" s="66"/>
      <c r="AE175" s="66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71"/>
      <c r="T176" s="62"/>
      <c r="U176" s="65"/>
      <c r="V176" s="65"/>
      <c r="W176" s="66"/>
      <c r="X176" s="66"/>
      <c r="Y176" s="66"/>
      <c r="Z176" s="66"/>
      <c r="AA176" s="66"/>
      <c r="AB176" s="66"/>
      <c r="AC176" s="66"/>
      <c r="AD176" s="66"/>
      <c r="AE176" s="66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71"/>
      <c r="T177" s="62"/>
      <c r="U177" s="65"/>
      <c r="V177" s="65"/>
      <c r="W177" s="66"/>
      <c r="X177" s="66"/>
      <c r="Y177" s="66"/>
      <c r="Z177" s="66"/>
      <c r="AA177" s="66"/>
      <c r="AB177" s="66"/>
      <c r="AC177" s="66"/>
      <c r="AD177" s="66"/>
      <c r="AE177" s="66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71"/>
      <c r="T178" s="62"/>
      <c r="U178" s="65"/>
      <c r="V178" s="65"/>
      <c r="W178" s="66"/>
      <c r="X178" s="66"/>
      <c r="Y178" s="66"/>
      <c r="Z178" s="66"/>
      <c r="AA178" s="66"/>
      <c r="AB178" s="66"/>
      <c r="AC178" s="66"/>
      <c r="AD178" s="66"/>
      <c r="AE178" s="66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71"/>
      <c r="T179" s="62"/>
      <c r="U179" s="65"/>
      <c r="V179" s="65"/>
      <c r="W179" s="66"/>
      <c r="X179" s="66"/>
      <c r="Y179" s="66"/>
      <c r="Z179" s="66"/>
      <c r="AA179" s="66"/>
      <c r="AB179" s="66"/>
      <c r="AC179" s="66"/>
      <c r="AD179" s="66"/>
      <c r="AE179" s="66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71"/>
      <c r="T180" s="62"/>
      <c r="U180" s="65"/>
      <c r="V180" s="65"/>
      <c r="W180" s="66"/>
      <c r="X180" s="66"/>
      <c r="Y180" s="66"/>
      <c r="Z180" s="66"/>
      <c r="AA180" s="66"/>
      <c r="AB180" s="66"/>
      <c r="AC180" s="66"/>
      <c r="AD180" s="66"/>
      <c r="AE180" s="66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71"/>
      <c r="T181" s="62"/>
      <c r="U181" s="65"/>
      <c r="V181" s="65"/>
      <c r="W181" s="66"/>
      <c r="X181" s="66"/>
      <c r="Y181" s="66"/>
      <c r="Z181" s="66"/>
      <c r="AA181" s="66"/>
      <c r="AB181" s="66"/>
      <c r="AC181" s="66"/>
      <c r="AD181" s="66"/>
      <c r="AE181" s="66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71"/>
      <c r="T182" s="62"/>
      <c r="U182" s="65"/>
      <c r="V182" s="65"/>
      <c r="W182" s="66"/>
      <c r="X182" s="66"/>
      <c r="Y182" s="66"/>
      <c r="Z182" s="66"/>
      <c r="AA182" s="66"/>
      <c r="AB182" s="66"/>
      <c r="AC182" s="66"/>
      <c r="AD182" s="66"/>
      <c r="AE182" s="66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71"/>
      <c r="T183" s="62"/>
      <c r="U183" s="65"/>
      <c r="V183" s="65"/>
      <c r="W183" s="66"/>
      <c r="X183" s="66"/>
      <c r="Y183" s="66"/>
      <c r="Z183" s="66"/>
      <c r="AA183" s="66"/>
      <c r="AB183" s="66"/>
      <c r="AC183" s="66"/>
      <c r="AD183" s="66"/>
      <c r="AE183" s="66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71"/>
      <c r="T184" s="62"/>
      <c r="U184" s="65"/>
      <c r="V184" s="65"/>
      <c r="W184" s="66"/>
      <c r="X184" s="66"/>
      <c r="Y184" s="66"/>
      <c r="Z184" s="66"/>
      <c r="AA184" s="66"/>
      <c r="AB184" s="66"/>
      <c r="AC184" s="66"/>
      <c r="AD184" s="66"/>
      <c r="AE184" s="66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71"/>
      <c r="T185" s="62"/>
      <c r="U185" s="65"/>
      <c r="V185" s="65"/>
      <c r="W185" s="66"/>
      <c r="X185" s="66"/>
      <c r="Y185" s="66"/>
      <c r="Z185" s="66"/>
      <c r="AA185" s="66"/>
      <c r="AB185" s="66"/>
      <c r="AC185" s="66"/>
      <c r="AD185" s="66"/>
      <c r="AE185" s="66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71"/>
      <c r="T186" s="62"/>
      <c r="U186" s="65"/>
      <c r="V186" s="65"/>
      <c r="W186" s="66"/>
      <c r="X186" s="66"/>
      <c r="Y186" s="66"/>
      <c r="Z186" s="66"/>
      <c r="AA186" s="66"/>
      <c r="AB186" s="66"/>
      <c r="AC186" s="66"/>
      <c r="AD186" s="66"/>
      <c r="AE186" s="66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71"/>
      <c r="T187" s="62"/>
      <c r="U187" s="65"/>
      <c r="V187" s="65"/>
      <c r="W187" s="66"/>
      <c r="X187" s="66"/>
      <c r="Y187" s="66"/>
      <c r="Z187" s="66"/>
      <c r="AA187" s="66"/>
      <c r="AB187" s="66"/>
      <c r="AC187" s="66"/>
      <c r="AD187" s="66"/>
      <c r="AE187" s="66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71"/>
      <c r="T188" s="62"/>
      <c r="U188" s="65"/>
      <c r="V188" s="65"/>
      <c r="W188" s="66"/>
      <c r="X188" s="66"/>
      <c r="Y188" s="66"/>
      <c r="Z188" s="66"/>
      <c r="AA188" s="66"/>
      <c r="AB188" s="66"/>
      <c r="AC188" s="66"/>
      <c r="AD188" s="66"/>
      <c r="AE188" s="66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71"/>
      <c r="T189" s="62"/>
      <c r="U189" s="65"/>
      <c r="V189" s="65"/>
      <c r="W189" s="66"/>
      <c r="X189" s="66"/>
      <c r="Y189" s="66"/>
      <c r="Z189" s="66"/>
      <c r="AA189" s="66"/>
      <c r="AB189" s="66"/>
      <c r="AC189" s="66"/>
      <c r="AD189" s="66"/>
      <c r="AE189" s="66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71"/>
      <c r="T190" s="62"/>
      <c r="U190" s="65"/>
      <c r="V190" s="65"/>
      <c r="W190" s="66"/>
      <c r="X190" s="66"/>
      <c r="Y190" s="66"/>
      <c r="Z190" s="66"/>
      <c r="AA190" s="66"/>
      <c r="AB190" s="66"/>
      <c r="AC190" s="66"/>
      <c r="AD190" s="66"/>
      <c r="AE190" s="66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71"/>
      <c r="T191" s="62"/>
      <c r="U191" s="65"/>
      <c r="V191" s="65"/>
      <c r="W191" s="66"/>
      <c r="X191" s="66"/>
      <c r="Y191" s="66"/>
      <c r="Z191" s="66"/>
      <c r="AA191" s="66"/>
      <c r="AB191" s="66"/>
      <c r="AC191" s="66"/>
      <c r="AD191" s="66"/>
      <c r="AE191" s="66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71"/>
      <c r="T192" s="62"/>
      <c r="U192" s="65"/>
      <c r="V192" s="65"/>
      <c r="W192" s="66"/>
      <c r="X192" s="66"/>
      <c r="Y192" s="66"/>
      <c r="Z192" s="66"/>
      <c r="AA192" s="66"/>
      <c r="AB192" s="66"/>
      <c r="AC192" s="66"/>
      <c r="AD192" s="66"/>
      <c r="AE192" s="66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71"/>
      <c r="T193" s="62"/>
      <c r="U193" s="65"/>
      <c r="V193" s="65"/>
      <c r="W193" s="66"/>
      <c r="X193" s="66"/>
      <c r="Y193" s="66"/>
      <c r="Z193" s="66"/>
      <c r="AA193" s="66"/>
      <c r="AB193" s="66"/>
      <c r="AC193" s="66"/>
      <c r="AD193" s="66"/>
      <c r="AE193" s="66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71"/>
      <c r="T194" s="62"/>
      <c r="U194" s="65"/>
      <c r="V194" s="65"/>
      <c r="W194" s="66"/>
      <c r="X194" s="66"/>
      <c r="Y194" s="66"/>
      <c r="Z194" s="66"/>
      <c r="AA194" s="66"/>
      <c r="AB194" s="66"/>
      <c r="AC194" s="66"/>
      <c r="AD194" s="66"/>
      <c r="AE194" s="66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71"/>
      <c r="T195" s="62"/>
      <c r="U195" s="65"/>
      <c r="V195" s="65"/>
      <c r="W195" s="66"/>
      <c r="X195" s="66"/>
      <c r="Y195" s="66"/>
      <c r="Z195" s="66"/>
      <c r="AA195" s="66"/>
      <c r="AB195" s="66"/>
      <c r="AC195" s="66"/>
      <c r="AD195" s="66"/>
      <c r="AE195" s="66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71"/>
      <c r="T196" s="62"/>
      <c r="U196" s="65"/>
      <c r="V196" s="65"/>
      <c r="W196" s="66"/>
      <c r="X196" s="66"/>
      <c r="Y196" s="66"/>
      <c r="Z196" s="66"/>
      <c r="AA196" s="66"/>
      <c r="AB196" s="66"/>
      <c r="AC196" s="66"/>
      <c r="AD196" s="66"/>
      <c r="AE196" s="66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71"/>
      <c r="T197" s="62"/>
      <c r="U197" s="65"/>
      <c r="V197" s="65"/>
      <c r="W197" s="66"/>
      <c r="X197" s="66"/>
      <c r="Y197" s="66"/>
      <c r="Z197" s="66"/>
      <c r="AA197" s="66"/>
      <c r="AB197" s="66"/>
      <c r="AC197" s="66"/>
      <c r="AD197" s="66"/>
      <c r="AE197" s="66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71"/>
      <c r="T198" s="62"/>
      <c r="U198" s="65"/>
      <c r="V198" s="65"/>
      <c r="W198" s="66"/>
      <c r="X198" s="66"/>
      <c r="Y198" s="66"/>
      <c r="Z198" s="66"/>
      <c r="AA198" s="66"/>
      <c r="AB198" s="66"/>
      <c r="AC198" s="66"/>
      <c r="AD198" s="66"/>
      <c r="AE198" s="66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71"/>
      <c r="T199" s="62"/>
      <c r="U199" s="65"/>
      <c r="V199" s="65"/>
      <c r="W199" s="66"/>
      <c r="X199" s="66"/>
      <c r="Y199" s="66"/>
      <c r="Z199" s="66"/>
      <c r="AA199" s="66"/>
      <c r="AB199" s="66"/>
      <c r="AC199" s="66"/>
      <c r="AD199" s="66"/>
      <c r="AE199" s="66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71"/>
      <c r="T200" s="62"/>
      <c r="U200" s="65"/>
      <c r="V200" s="65"/>
      <c r="W200" s="66"/>
      <c r="X200" s="66"/>
      <c r="Y200" s="66"/>
      <c r="Z200" s="66"/>
      <c r="AA200" s="66"/>
      <c r="AB200" s="66"/>
      <c r="AC200" s="66"/>
      <c r="AD200" s="66"/>
      <c r="AE200" s="66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71"/>
      <c r="T201" s="62"/>
      <c r="U201" s="65"/>
      <c r="V201" s="65"/>
      <c r="W201" s="66"/>
      <c r="X201" s="66"/>
      <c r="Y201" s="66"/>
      <c r="Z201" s="66"/>
      <c r="AA201" s="66"/>
      <c r="AB201" s="66"/>
      <c r="AC201" s="66"/>
      <c r="AD201" s="66"/>
      <c r="AE201" s="66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71"/>
      <c r="T202" s="62"/>
      <c r="U202" s="65"/>
      <c r="V202" s="65"/>
      <c r="W202" s="66"/>
      <c r="X202" s="66"/>
      <c r="Y202" s="66"/>
      <c r="Z202" s="66"/>
      <c r="AA202" s="66"/>
      <c r="AB202" s="66"/>
      <c r="AC202" s="66"/>
      <c r="AD202" s="66"/>
      <c r="AE202" s="66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71"/>
      <c r="T203" s="62"/>
      <c r="U203" s="65"/>
      <c r="V203" s="65"/>
      <c r="W203" s="66"/>
      <c r="X203" s="66"/>
      <c r="Y203" s="66"/>
      <c r="Z203" s="66"/>
      <c r="AA203" s="66"/>
      <c r="AB203" s="66"/>
      <c r="AC203" s="66"/>
      <c r="AD203" s="66"/>
      <c r="AE203" s="66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71"/>
      <c r="T204" s="62"/>
      <c r="U204" s="65"/>
      <c r="V204" s="65"/>
      <c r="W204" s="66"/>
      <c r="X204" s="66"/>
      <c r="Y204" s="66"/>
      <c r="Z204" s="66"/>
      <c r="AA204" s="66"/>
      <c r="AB204" s="66"/>
      <c r="AC204" s="66"/>
      <c r="AD204" s="66"/>
      <c r="AE204" s="66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71"/>
      <c r="T205" s="62"/>
      <c r="U205" s="65"/>
      <c r="V205" s="65"/>
      <c r="W205" s="66"/>
      <c r="X205" s="66"/>
      <c r="Y205" s="66"/>
      <c r="Z205" s="66"/>
      <c r="AA205" s="66"/>
      <c r="AB205" s="66"/>
      <c r="AC205" s="66"/>
      <c r="AD205" s="66"/>
      <c r="AE205" s="66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71"/>
      <c r="T206" s="62"/>
      <c r="U206" s="65"/>
      <c r="V206" s="65"/>
      <c r="W206" s="66"/>
      <c r="X206" s="66"/>
      <c r="Y206" s="66"/>
      <c r="Z206" s="66"/>
      <c r="AA206" s="66"/>
      <c r="AB206" s="66"/>
      <c r="AC206" s="66"/>
      <c r="AD206" s="66"/>
      <c r="AE206" s="66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71"/>
      <c r="T207" s="62"/>
      <c r="U207" s="65"/>
      <c r="V207" s="65"/>
      <c r="W207" s="66"/>
      <c r="X207" s="66"/>
      <c r="Y207" s="66"/>
      <c r="Z207" s="66"/>
      <c r="AA207" s="66"/>
      <c r="AB207" s="66"/>
      <c r="AC207" s="66"/>
      <c r="AD207" s="66"/>
      <c r="AE207" s="66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71"/>
      <c r="T208" s="62"/>
      <c r="U208" s="65"/>
      <c r="V208" s="65"/>
      <c r="W208" s="66"/>
      <c r="X208" s="66"/>
      <c r="Y208" s="66"/>
      <c r="Z208" s="66"/>
      <c r="AA208" s="66"/>
      <c r="AB208" s="66"/>
      <c r="AC208" s="66"/>
      <c r="AD208" s="66"/>
      <c r="AE208" s="66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71"/>
      <c r="T209" s="62"/>
      <c r="U209" s="65"/>
      <c r="V209" s="65"/>
      <c r="W209" s="66"/>
      <c r="X209" s="66"/>
      <c r="Y209" s="66"/>
      <c r="Z209" s="66"/>
      <c r="AA209" s="66"/>
      <c r="AB209" s="66"/>
      <c r="AC209" s="66"/>
      <c r="AD209" s="66"/>
      <c r="AE209" s="66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71"/>
      <c r="T210" s="62"/>
      <c r="U210" s="65"/>
      <c r="V210" s="65"/>
      <c r="W210" s="66"/>
      <c r="X210" s="66"/>
      <c r="Y210" s="66"/>
      <c r="Z210" s="66"/>
      <c r="AA210" s="66"/>
      <c r="AB210" s="66"/>
      <c r="AC210" s="66"/>
      <c r="AD210" s="66"/>
      <c r="AE210" s="66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71"/>
      <c r="T211" s="62"/>
      <c r="U211" s="65"/>
      <c r="V211" s="65"/>
      <c r="W211" s="66"/>
      <c r="X211" s="66"/>
      <c r="Y211" s="66"/>
      <c r="Z211" s="66"/>
      <c r="AA211" s="66"/>
      <c r="AB211" s="66"/>
      <c r="AC211" s="66"/>
      <c r="AD211" s="66"/>
      <c r="AE211" s="66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71"/>
      <c r="T212" s="62"/>
      <c r="U212" s="65"/>
      <c r="V212" s="65"/>
      <c r="W212" s="66"/>
      <c r="X212" s="66"/>
      <c r="Y212" s="66"/>
      <c r="Z212" s="66"/>
      <c r="AA212" s="66"/>
      <c r="AB212" s="66"/>
      <c r="AC212" s="66"/>
      <c r="AD212" s="66"/>
      <c r="AE212" s="66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71"/>
      <c r="T213" s="62"/>
      <c r="U213" s="65"/>
      <c r="V213" s="65"/>
      <c r="W213" s="66"/>
      <c r="X213" s="66"/>
      <c r="Y213" s="66"/>
      <c r="Z213" s="66"/>
      <c r="AA213" s="66"/>
      <c r="AB213" s="66"/>
      <c r="AC213" s="66"/>
      <c r="AD213" s="66"/>
      <c r="AE213" s="66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71"/>
      <c r="T214" s="62"/>
      <c r="U214" s="65"/>
      <c r="V214" s="65"/>
      <c r="W214" s="66"/>
      <c r="X214" s="66"/>
      <c r="Y214" s="66"/>
      <c r="Z214" s="66"/>
      <c r="AA214" s="66"/>
      <c r="AB214" s="66"/>
      <c r="AC214" s="66"/>
      <c r="AD214" s="66"/>
      <c r="AE214" s="66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71"/>
      <c r="T215" s="62"/>
      <c r="U215" s="65"/>
      <c r="V215" s="65"/>
      <c r="W215" s="66"/>
      <c r="X215" s="66"/>
      <c r="Y215" s="66"/>
      <c r="Z215" s="66"/>
      <c r="AA215" s="66"/>
      <c r="AB215" s="66"/>
      <c r="AC215" s="66"/>
      <c r="AD215" s="66"/>
      <c r="AE215" s="66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71"/>
      <c r="T216" s="62"/>
      <c r="U216" s="65"/>
      <c r="V216" s="65"/>
      <c r="W216" s="66"/>
      <c r="X216" s="66"/>
      <c r="Y216" s="66"/>
      <c r="Z216" s="66"/>
      <c r="AA216" s="66"/>
      <c r="AB216" s="66"/>
      <c r="AC216" s="66"/>
      <c r="AD216" s="66"/>
      <c r="AE216" s="66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71"/>
      <c r="T217" s="62"/>
      <c r="U217" s="65"/>
      <c r="V217" s="65"/>
      <c r="W217" s="66"/>
      <c r="X217" s="66"/>
      <c r="Y217" s="66"/>
      <c r="Z217" s="66"/>
      <c r="AA217" s="66"/>
      <c r="AB217" s="66"/>
      <c r="AC217" s="66"/>
      <c r="AD217" s="66"/>
      <c r="AE217" s="66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71"/>
      <c r="T218" s="62"/>
      <c r="U218" s="65"/>
      <c r="V218" s="65"/>
      <c r="W218" s="66"/>
      <c r="X218" s="66"/>
      <c r="Y218" s="66"/>
      <c r="Z218" s="66"/>
      <c r="AA218" s="66"/>
      <c r="AB218" s="66"/>
      <c r="AC218" s="66"/>
      <c r="AD218" s="66"/>
      <c r="AE218" s="66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71"/>
      <c r="T219" s="62"/>
      <c r="U219" s="65"/>
      <c r="V219" s="65"/>
      <c r="W219" s="66"/>
      <c r="X219" s="66"/>
      <c r="Y219" s="66"/>
      <c r="Z219" s="66"/>
      <c r="AA219" s="66"/>
      <c r="AB219" s="66"/>
      <c r="AC219" s="66"/>
      <c r="AD219" s="66"/>
      <c r="AE219" s="66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71"/>
      <c r="T220" s="62"/>
      <c r="U220" s="65"/>
      <c r="V220" s="65"/>
      <c r="W220" s="66"/>
      <c r="X220" s="66"/>
      <c r="Y220" s="66"/>
      <c r="Z220" s="66"/>
      <c r="AA220" s="66"/>
      <c r="AB220" s="66"/>
      <c r="AC220" s="66"/>
      <c r="AD220" s="66"/>
      <c r="AE220" s="66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71"/>
      <c r="T221" s="62"/>
      <c r="U221" s="65"/>
      <c r="V221" s="65"/>
      <c r="W221" s="66"/>
      <c r="X221" s="66"/>
      <c r="Y221" s="66"/>
      <c r="Z221" s="66"/>
      <c r="AA221" s="66"/>
      <c r="AB221" s="66"/>
      <c r="AC221" s="66"/>
      <c r="AD221" s="66"/>
      <c r="AE221" s="66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71"/>
      <c r="T222" s="62"/>
      <c r="U222" s="65"/>
      <c r="V222" s="65"/>
      <c r="W222" s="66"/>
      <c r="X222" s="66"/>
      <c r="Y222" s="66"/>
      <c r="Z222" s="66"/>
      <c r="AA222" s="66"/>
      <c r="AB222" s="66"/>
      <c r="AC222" s="66"/>
      <c r="AD222" s="66"/>
      <c r="AE222" s="66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71"/>
      <c r="T223" s="62"/>
      <c r="U223" s="65"/>
      <c r="V223" s="65"/>
      <c r="W223" s="66"/>
      <c r="X223" s="66"/>
      <c r="Y223" s="66"/>
      <c r="Z223" s="66"/>
      <c r="AA223" s="66"/>
      <c r="AB223" s="66"/>
      <c r="AC223" s="66"/>
      <c r="AD223" s="66"/>
      <c r="AE223" s="66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71"/>
      <c r="T224" s="62"/>
      <c r="U224" s="65"/>
      <c r="V224" s="65"/>
      <c r="W224" s="66"/>
      <c r="X224" s="66"/>
      <c r="Y224" s="66"/>
      <c r="Z224" s="66"/>
      <c r="AA224" s="66"/>
      <c r="AB224" s="66"/>
      <c r="AC224" s="66"/>
      <c r="AD224" s="66"/>
      <c r="AE224" s="66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71"/>
      <c r="T225" s="62"/>
      <c r="U225" s="65"/>
      <c r="V225" s="65"/>
      <c r="W225" s="66"/>
      <c r="X225" s="66"/>
      <c r="Y225" s="66"/>
      <c r="Z225" s="66"/>
      <c r="AA225" s="66"/>
      <c r="AB225" s="66"/>
      <c r="AC225" s="66"/>
      <c r="AD225" s="66"/>
      <c r="AE225" s="66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71"/>
      <c r="T226" s="62"/>
      <c r="U226" s="65"/>
      <c r="V226" s="65"/>
      <c r="W226" s="66"/>
      <c r="X226" s="66"/>
      <c r="Y226" s="66"/>
      <c r="Z226" s="66"/>
      <c r="AA226" s="66"/>
      <c r="AB226" s="66"/>
      <c r="AC226" s="66"/>
      <c r="AD226" s="66"/>
      <c r="AE226" s="66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71"/>
      <c r="T227" s="62"/>
      <c r="U227" s="65"/>
      <c r="V227" s="65"/>
      <c r="W227" s="66"/>
      <c r="X227" s="66"/>
      <c r="Y227" s="66"/>
      <c r="Z227" s="66"/>
      <c r="AA227" s="66"/>
      <c r="AB227" s="66"/>
      <c r="AC227" s="66"/>
      <c r="AD227" s="66"/>
      <c r="AE227" s="66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71"/>
      <c r="T228" s="62"/>
      <c r="U228" s="65"/>
      <c r="V228" s="65"/>
      <c r="W228" s="66"/>
      <c r="X228" s="66"/>
      <c r="Y228" s="66"/>
      <c r="Z228" s="66"/>
      <c r="AA228" s="66"/>
      <c r="AB228" s="66"/>
      <c r="AC228" s="66"/>
      <c r="AD228" s="66"/>
      <c r="AE228" s="66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71"/>
      <c r="T229" s="62"/>
      <c r="U229" s="65"/>
      <c r="V229" s="65"/>
      <c r="W229" s="66"/>
      <c r="X229" s="66"/>
      <c r="Y229" s="66"/>
      <c r="Z229" s="66"/>
      <c r="AA229" s="66"/>
      <c r="AB229" s="66"/>
      <c r="AC229" s="66"/>
      <c r="AD229" s="66"/>
      <c r="AE229" s="66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71"/>
      <c r="T230" s="62"/>
      <c r="U230" s="65"/>
      <c r="V230" s="65"/>
      <c r="W230" s="66"/>
      <c r="X230" s="66"/>
      <c r="Y230" s="66"/>
      <c r="Z230" s="66"/>
      <c r="AA230" s="66"/>
      <c r="AB230" s="66"/>
      <c r="AC230" s="66"/>
      <c r="AD230" s="66"/>
      <c r="AE230" s="66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71"/>
      <c r="T231" s="62"/>
      <c r="U231" s="65"/>
      <c r="V231" s="65"/>
      <c r="W231" s="66"/>
      <c r="X231" s="66"/>
      <c r="Y231" s="66"/>
      <c r="Z231" s="66"/>
      <c r="AA231" s="66"/>
      <c r="AB231" s="66"/>
      <c r="AC231" s="66"/>
      <c r="AD231" s="66"/>
      <c r="AE231" s="66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71"/>
      <c r="T232" s="62"/>
      <c r="U232" s="65"/>
      <c r="V232" s="65"/>
      <c r="W232" s="66"/>
      <c r="X232" s="66"/>
      <c r="Y232" s="66"/>
      <c r="Z232" s="66"/>
      <c r="AA232" s="66"/>
      <c r="AB232" s="66"/>
      <c r="AC232" s="66"/>
      <c r="AD232" s="66"/>
      <c r="AE232" s="66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71"/>
      <c r="T233" s="62"/>
      <c r="U233" s="65"/>
      <c r="V233" s="65"/>
      <c r="W233" s="66"/>
      <c r="X233" s="66"/>
      <c r="Y233" s="66"/>
      <c r="Z233" s="66"/>
      <c r="AA233" s="66"/>
      <c r="AB233" s="66"/>
      <c r="AC233" s="66"/>
      <c r="AD233" s="66"/>
      <c r="AE233" s="66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71"/>
      <c r="T234" s="62"/>
      <c r="U234" s="65"/>
      <c r="V234" s="65"/>
      <c r="W234" s="66"/>
      <c r="X234" s="66"/>
      <c r="Y234" s="66"/>
      <c r="Z234" s="66"/>
      <c r="AA234" s="66"/>
      <c r="AB234" s="66"/>
      <c r="AC234" s="66"/>
      <c r="AD234" s="66"/>
      <c r="AE234" s="66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71"/>
      <c r="T235" s="62"/>
      <c r="U235" s="65"/>
      <c r="V235" s="65"/>
      <c r="W235" s="66"/>
      <c r="X235" s="66"/>
      <c r="Y235" s="66"/>
      <c r="Z235" s="66"/>
      <c r="AA235" s="66"/>
      <c r="AB235" s="66"/>
      <c r="AC235" s="66"/>
      <c r="AD235" s="66"/>
      <c r="AE235" s="66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71"/>
      <c r="T236" s="62"/>
      <c r="U236" s="65"/>
      <c r="V236" s="65"/>
      <c r="W236" s="66"/>
      <c r="X236" s="66"/>
      <c r="Y236" s="66"/>
      <c r="Z236" s="66"/>
      <c r="AA236" s="66"/>
      <c r="AB236" s="66"/>
      <c r="AC236" s="66"/>
      <c r="AD236" s="66"/>
      <c r="AE236" s="66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71"/>
      <c r="T237" s="62"/>
      <c r="U237" s="65"/>
      <c r="V237" s="65"/>
      <c r="W237" s="66"/>
      <c r="X237" s="66"/>
      <c r="Y237" s="66"/>
      <c r="Z237" s="66"/>
      <c r="AA237" s="66"/>
      <c r="AB237" s="66"/>
      <c r="AC237" s="66"/>
      <c r="AD237" s="66"/>
      <c r="AE237" s="66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71"/>
      <c r="T238" s="62"/>
      <c r="U238" s="65"/>
      <c r="V238" s="65"/>
      <c r="W238" s="66"/>
      <c r="X238" s="66"/>
      <c r="Y238" s="66"/>
      <c r="Z238" s="66"/>
      <c r="AA238" s="66"/>
      <c r="AB238" s="66"/>
      <c r="AC238" s="66"/>
      <c r="AD238" s="66"/>
      <c r="AE238" s="66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71"/>
      <c r="T239" s="62"/>
      <c r="U239" s="65"/>
      <c r="V239" s="65"/>
      <c r="W239" s="66"/>
      <c r="X239" s="66"/>
      <c r="Y239" s="66"/>
      <c r="Z239" s="66"/>
      <c r="AA239" s="66"/>
      <c r="AB239" s="66"/>
      <c r="AC239" s="66"/>
      <c r="AD239" s="66"/>
      <c r="AE239" s="66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71"/>
      <c r="T240" s="62"/>
      <c r="U240" s="65"/>
      <c r="V240" s="65"/>
      <c r="W240" s="66"/>
      <c r="X240" s="66"/>
      <c r="Y240" s="66"/>
      <c r="Z240" s="66"/>
      <c r="AA240" s="66"/>
      <c r="AB240" s="66"/>
      <c r="AC240" s="66"/>
      <c r="AD240" s="66"/>
      <c r="AE240" s="66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71"/>
      <c r="T241" s="62"/>
      <c r="U241" s="65"/>
      <c r="V241" s="65"/>
      <c r="W241" s="66"/>
      <c r="X241" s="66"/>
      <c r="Y241" s="66"/>
      <c r="Z241" s="66"/>
      <c r="AA241" s="66"/>
      <c r="AB241" s="66"/>
      <c r="AC241" s="66"/>
      <c r="AD241" s="66"/>
      <c r="AE241" s="66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71"/>
      <c r="T242" s="62"/>
      <c r="U242" s="65"/>
      <c r="V242" s="65"/>
      <c r="W242" s="66"/>
      <c r="X242" s="66"/>
      <c r="Y242" s="66"/>
      <c r="Z242" s="66"/>
      <c r="AA242" s="66"/>
      <c r="AB242" s="66"/>
      <c r="AC242" s="66"/>
      <c r="AD242" s="66"/>
      <c r="AE242" s="66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71"/>
      <c r="T243" s="62"/>
      <c r="U243" s="65"/>
      <c r="V243" s="65"/>
      <c r="W243" s="66"/>
      <c r="X243" s="66"/>
      <c r="Y243" s="66"/>
      <c r="Z243" s="66"/>
      <c r="AA243" s="66"/>
      <c r="AB243" s="66"/>
      <c r="AC243" s="66"/>
      <c r="AD243" s="66"/>
      <c r="AE243" s="66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71"/>
      <c r="T244" s="62"/>
      <c r="U244" s="65"/>
      <c r="V244" s="65"/>
      <c r="W244" s="66"/>
      <c r="X244" s="66"/>
      <c r="Y244" s="66"/>
      <c r="Z244" s="66"/>
      <c r="AA244" s="66"/>
      <c r="AB244" s="66"/>
      <c r="AC244" s="66"/>
      <c r="AD244" s="66"/>
      <c r="AE244" s="66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71"/>
      <c r="T245" s="62"/>
      <c r="U245" s="65"/>
      <c r="V245" s="65"/>
      <c r="W245" s="66"/>
      <c r="X245" s="66"/>
      <c r="Y245" s="66"/>
      <c r="Z245" s="66"/>
      <c r="AA245" s="66"/>
      <c r="AB245" s="66"/>
      <c r="AC245" s="66"/>
      <c r="AD245" s="66"/>
      <c r="AE245" s="66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71"/>
      <c r="T246" s="62"/>
      <c r="U246" s="65"/>
      <c r="V246" s="65"/>
      <c r="W246" s="66"/>
      <c r="X246" s="66"/>
      <c r="Y246" s="66"/>
      <c r="Z246" s="66"/>
      <c r="AA246" s="66"/>
      <c r="AB246" s="66"/>
      <c r="AC246" s="66"/>
      <c r="AD246" s="66"/>
      <c r="AE246" s="66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71"/>
      <c r="T247" s="62"/>
      <c r="U247" s="65"/>
      <c r="V247" s="65"/>
      <c r="W247" s="66"/>
      <c r="X247" s="66"/>
      <c r="Y247" s="66"/>
      <c r="Z247" s="66"/>
      <c r="AA247" s="66"/>
      <c r="AB247" s="66"/>
      <c r="AC247" s="66"/>
      <c r="AD247" s="66"/>
      <c r="AE247" s="66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71"/>
      <c r="T248" s="62"/>
      <c r="U248" s="65"/>
      <c r="V248" s="65"/>
      <c r="W248" s="66"/>
      <c r="X248" s="66"/>
      <c r="Y248" s="66"/>
      <c r="Z248" s="66"/>
      <c r="AA248" s="66"/>
      <c r="AB248" s="66"/>
      <c r="AC248" s="66"/>
      <c r="AD248" s="66"/>
      <c r="AE248" s="66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71"/>
      <c r="T249" s="62"/>
      <c r="U249" s="65"/>
      <c r="V249" s="65"/>
      <c r="W249" s="66"/>
      <c r="X249" s="66"/>
      <c r="Y249" s="66"/>
      <c r="Z249" s="66"/>
      <c r="AA249" s="66"/>
      <c r="AB249" s="66"/>
      <c r="AC249" s="66"/>
      <c r="AD249" s="66"/>
      <c r="AE249" s="66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71"/>
      <c r="T250" s="62"/>
      <c r="U250" s="65"/>
      <c r="V250" s="65"/>
      <c r="W250" s="66"/>
      <c r="X250" s="66"/>
      <c r="Y250" s="66"/>
      <c r="Z250" s="66"/>
      <c r="AA250" s="66"/>
      <c r="AB250" s="66"/>
      <c r="AC250" s="66"/>
      <c r="AD250" s="66"/>
      <c r="AE250" s="66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71"/>
      <c r="T251" s="62"/>
      <c r="U251" s="65"/>
      <c r="V251" s="65"/>
      <c r="W251" s="66"/>
      <c r="X251" s="66"/>
      <c r="Y251" s="66"/>
      <c r="Z251" s="66"/>
      <c r="AA251" s="66"/>
      <c r="AB251" s="66"/>
      <c r="AC251" s="66"/>
      <c r="AD251" s="66"/>
      <c r="AE251" s="66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71"/>
      <c r="T252" s="62"/>
      <c r="U252" s="65"/>
      <c r="V252" s="65"/>
      <c r="W252" s="66"/>
      <c r="X252" s="66"/>
      <c r="Y252" s="66"/>
      <c r="Z252" s="66"/>
      <c r="AA252" s="66"/>
      <c r="AB252" s="66"/>
      <c r="AC252" s="66"/>
      <c r="AD252" s="66"/>
      <c r="AE252" s="66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71"/>
      <c r="T253" s="62"/>
      <c r="U253" s="65"/>
      <c r="V253" s="65"/>
      <c r="W253" s="66"/>
      <c r="X253" s="66"/>
      <c r="Y253" s="66"/>
      <c r="Z253" s="66"/>
      <c r="AA253" s="66"/>
      <c r="AB253" s="66"/>
      <c r="AC253" s="66"/>
      <c r="AD253" s="66"/>
      <c r="AE253" s="66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71"/>
      <c r="T254" s="62"/>
      <c r="U254" s="65"/>
      <c r="V254" s="65"/>
      <c r="W254" s="66"/>
      <c r="X254" s="66"/>
      <c r="Y254" s="66"/>
      <c r="Z254" s="66"/>
      <c r="AA254" s="66"/>
      <c r="AB254" s="66"/>
      <c r="AC254" s="66"/>
      <c r="AD254" s="66"/>
      <c r="AE254" s="66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71"/>
      <c r="T255" s="62"/>
      <c r="U255" s="65"/>
      <c r="V255" s="65"/>
      <c r="W255" s="66"/>
      <c r="X255" s="66"/>
      <c r="Y255" s="66"/>
      <c r="Z255" s="66"/>
      <c r="AA255" s="66"/>
      <c r="AB255" s="66"/>
      <c r="AC255" s="66"/>
      <c r="AD255" s="66"/>
      <c r="AE255" s="66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71"/>
      <c r="T256" s="62"/>
      <c r="U256" s="65"/>
      <c r="V256" s="65"/>
      <c r="W256" s="66"/>
      <c r="X256" s="66"/>
      <c r="Y256" s="66"/>
      <c r="Z256" s="66"/>
      <c r="AA256" s="66"/>
      <c r="AB256" s="66"/>
      <c r="AC256" s="66"/>
      <c r="AD256" s="66"/>
      <c r="AE256" s="66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71"/>
      <c r="T257" s="62"/>
      <c r="U257" s="65"/>
      <c r="V257" s="65"/>
      <c r="W257" s="66"/>
      <c r="X257" s="66"/>
      <c r="Y257" s="66"/>
      <c r="Z257" s="66"/>
      <c r="AA257" s="66"/>
      <c r="AB257" s="66"/>
      <c r="AC257" s="66"/>
      <c r="AD257" s="66"/>
      <c r="AE257" s="66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71"/>
      <c r="T258" s="62"/>
      <c r="U258" s="65"/>
      <c r="V258" s="65"/>
      <c r="W258" s="66"/>
      <c r="X258" s="66"/>
      <c r="Y258" s="66"/>
      <c r="Z258" s="66"/>
      <c r="AA258" s="66"/>
      <c r="AB258" s="66"/>
      <c r="AC258" s="66"/>
      <c r="AD258" s="66"/>
      <c r="AE258" s="66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71"/>
      <c r="T259" s="62"/>
      <c r="U259" s="65"/>
      <c r="V259" s="65"/>
      <c r="W259" s="66"/>
      <c r="X259" s="66"/>
      <c r="Y259" s="66"/>
      <c r="Z259" s="66"/>
      <c r="AA259" s="66"/>
      <c r="AB259" s="66"/>
      <c r="AC259" s="66"/>
      <c r="AD259" s="66"/>
      <c r="AE259" s="66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71"/>
      <c r="T260" s="62"/>
      <c r="U260" s="65"/>
      <c r="V260" s="65"/>
      <c r="W260" s="66"/>
      <c r="X260" s="66"/>
      <c r="Y260" s="66"/>
      <c r="Z260" s="66"/>
      <c r="AA260" s="66"/>
      <c r="AB260" s="66"/>
      <c r="AC260" s="66"/>
      <c r="AD260" s="66"/>
      <c r="AE260" s="66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71"/>
      <c r="T261" s="62"/>
      <c r="U261" s="65"/>
      <c r="V261" s="65"/>
      <c r="W261" s="66"/>
      <c r="X261" s="66"/>
      <c r="Y261" s="66"/>
      <c r="Z261" s="66"/>
      <c r="AA261" s="66"/>
      <c r="AB261" s="66"/>
      <c r="AC261" s="66"/>
      <c r="AD261" s="66"/>
      <c r="AE261" s="66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71"/>
      <c r="T262" s="62"/>
      <c r="U262" s="65"/>
      <c r="V262" s="65"/>
      <c r="W262" s="66"/>
      <c r="X262" s="66"/>
      <c r="Y262" s="66"/>
      <c r="Z262" s="66"/>
      <c r="AA262" s="66"/>
      <c r="AB262" s="66"/>
      <c r="AC262" s="66"/>
      <c r="AD262" s="66"/>
      <c r="AE262" s="66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71"/>
      <c r="T263" s="62"/>
      <c r="U263" s="65"/>
      <c r="V263" s="65"/>
      <c r="W263" s="66"/>
      <c r="X263" s="66"/>
      <c r="Y263" s="66"/>
      <c r="Z263" s="66"/>
      <c r="AA263" s="66"/>
      <c r="AB263" s="66"/>
      <c r="AC263" s="66"/>
      <c r="AD263" s="66"/>
      <c r="AE263" s="66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71"/>
      <c r="T264" s="62"/>
      <c r="U264" s="65"/>
      <c r="V264" s="65"/>
      <c r="W264" s="66"/>
      <c r="X264" s="66"/>
      <c r="Y264" s="66"/>
      <c r="Z264" s="66"/>
      <c r="AA264" s="66"/>
      <c r="AB264" s="66"/>
      <c r="AC264" s="66"/>
      <c r="AD264" s="66"/>
      <c r="AE264" s="66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71"/>
      <c r="T265" s="62"/>
      <c r="U265" s="65"/>
      <c r="V265" s="65"/>
      <c r="W265" s="66"/>
      <c r="X265" s="66"/>
      <c r="Y265" s="66"/>
      <c r="Z265" s="66"/>
      <c r="AA265" s="66"/>
      <c r="AB265" s="66"/>
      <c r="AC265" s="66"/>
      <c r="AD265" s="66"/>
      <c r="AE265" s="66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71"/>
      <c r="T266" s="62"/>
      <c r="U266" s="65"/>
      <c r="V266" s="65"/>
      <c r="W266" s="66"/>
      <c r="X266" s="66"/>
      <c r="Y266" s="66"/>
      <c r="Z266" s="66"/>
      <c r="AA266" s="66"/>
      <c r="AB266" s="66"/>
      <c r="AC266" s="66"/>
      <c r="AD266" s="66"/>
      <c r="AE266" s="66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71"/>
      <c r="T267" s="62"/>
      <c r="U267" s="65"/>
      <c r="V267" s="65"/>
      <c r="W267" s="66"/>
      <c r="X267" s="66"/>
      <c r="Y267" s="66"/>
      <c r="Z267" s="66"/>
      <c r="AA267" s="66"/>
      <c r="AB267" s="66"/>
      <c r="AC267" s="66"/>
      <c r="AD267" s="66"/>
      <c r="AE267" s="66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71"/>
      <c r="T268" s="62"/>
      <c r="U268" s="65"/>
      <c r="V268" s="65"/>
      <c r="W268" s="66"/>
      <c r="X268" s="66"/>
      <c r="Y268" s="66"/>
      <c r="Z268" s="66"/>
      <c r="AA268" s="66"/>
      <c r="AB268" s="66"/>
      <c r="AC268" s="66"/>
      <c r="AD268" s="66"/>
      <c r="AE268" s="66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71"/>
      <c r="T269" s="62"/>
      <c r="U269" s="65"/>
      <c r="V269" s="65"/>
      <c r="W269" s="66"/>
      <c r="X269" s="66"/>
      <c r="Y269" s="66"/>
      <c r="Z269" s="66"/>
      <c r="AA269" s="66"/>
      <c r="AB269" s="66"/>
      <c r="AC269" s="66"/>
      <c r="AD269" s="66"/>
      <c r="AE269" s="66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71"/>
      <c r="T270" s="62"/>
      <c r="U270" s="65"/>
      <c r="V270" s="65"/>
      <c r="W270" s="66"/>
      <c r="X270" s="66"/>
      <c r="Y270" s="66"/>
      <c r="Z270" s="66"/>
      <c r="AA270" s="66"/>
      <c r="AB270" s="66"/>
      <c r="AC270" s="66"/>
      <c r="AD270" s="66"/>
      <c r="AE270" s="66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71"/>
      <c r="T271" s="62"/>
      <c r="U271" s="65"/>
      <c r="V271" s="65"/>
      <c r="W271" s="66"/>
      <c r="X271" s="66"/>
      <c r="Y271" s="66"/>
      <c r="Z271" s="66"/>
      <c r="AA271" s="66"/>
      <c r="AB271" s="66"/>
      <c r="AC271" s="66"/>
      <c r="AD271" s="66"/>
      <c r="AE271" s="66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71"/>
      <c r="T272" s="62"/>
      <c r="U272" s="65"/>
      <c r="V272" s="65"/>
      <c r="W272" s="66"/>
      <c r="X272" s="66"/>
      <c r="Y272" s="66"/>
      <c r="Z272" s="66"/>
      <c r="AA272" s="66"/>
      <c r="AB272" s="66"/>
      <c r="AC272" s="66"/>
      <c r="AD272" s="66"/>
      <c r="AE272" s="66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71"/>
      <c r="T273" s="62"/>
      <c r="U273" s="65"/>
      <c r="V273" s="65"/>
      <c r="W273" s="66"/>
      <c r="X273" s="66"/>
      <c r="Y273" s="66"/>
      <c r="Z273" s="66"/>
      <c r="AA273" s="66"/>
      <c r="AB273" s="66"/>
      <c r="AC273" s="66"/>
      <c r="AD273" s="66"/>
      <c r="AE273" s="66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71"/>
      <c r="T274" s="62"/>
      <c r="U274" s="65"/>
      <c r="V274" s="65"/>
      <c r="W274" s="66"/>
      <c r="X274" s="66"/>
      <c r="Y274" s="66"/>
      <c r="Z274" s="66"/>
      <c r="AA274" s="66"/>
      <c r="AB274" s="66"/>
      <c r="AC274" s="66"/>
      <c r="AD274" s="66"/>
      <c r="AE274" s="66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71"/>
      <c r="T275" s="62"/>
      <c r="U275" s="65"/>
      <c r="V275" s="65"/>
      <c r="W275" s="66"/>
      <c r="X275" s="66"/>
      <c r="Y275" s="66"/>
      <c r="Z275" s="66"/>
      <c r="AA275" s="66"/>
      <c r="AB275" s="66"/>
      <c r="AC275" s="66"/>
      <c r="AD275" s="66"/>
      <c r="AE275" s="66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71"/>
      <c r="T276" s="62"/>
      <c r="U276" s="65"/>
      <c r="V276" s="65"/>
      <c r="W276" s="66"/>
      <c r="X276" s="66"/>
      <c r="Y276" s="66"/>
      <c r="Z276" s="66"/>
      <c r="AA276" s="66"/>
      <c r="AB276" s="66"/>
      <c r="AC276" s="66"/>
      <c r="AD276" s="66"/>
      <c r="AE276" s="66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71"/>
      <c r="T277" s="62"/>
      <c r="U277" s="65"/>
      <c r="V277" s="65"/>
      <c r="W277" s="66"/>
      <c r="X277" s="66"/>
      <c r="Y277" s="66"/>
      <c r="Z277" s="66"/>
      <c r="AA277" s="66"/>
      <c r="AB277" s="66"/>
      <c r="AC277" s="66"/>
      <c r="AD277" s="66"/>
      <c r="AE277" s="66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71"/>
      <c r="T278" s="62"/>
      <c r="U278" s="65"/>
      <c r="V278" s="65"/>
      <c r="W278" s="66"/>
      <c r="X278" s="66"/>
      <c r="Y278" s="66"/>
      <c r="Z278" s="66"/>
      <c r="AA278" s="66"/>
      <c r="AB278" s="66"/>
      <c r="AC278" s="66"/>
      <c r="AD278" s="66"/>
      <c r="AE278" s="66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71"/>
      <c r="T279" s="62"/>
      <c r="U279" s="65"/>
      <c r="V279" s="65"/>
      <c r="W279" s="66"/>
      <c r="X279" s="66"/>
      <c r="Y279" s="66"/>
      <c r="Z279" s="66"/>
      <c r="AA279" s="66"/>
      <c r="AB279" s="66"/>
      <c r="AC279" s="66"/>
      <c r="AD279" s="66"/>
      <c r="AE279" s="66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71"/>
      <c r="T280" s="62"/>
      <c r="U280" s="65"/>
      <c r="V280" s="65"/>
      <c r="W280" s="66"/>
      <c r="X280" s="66"/>
      <c r="Y280" s="66"/>
      <c r="Z280" s="66"/>
      <c r="AA280" s="66"/>
      <c r="AB280" s="66"/>
      <c r="AC280" s="66"/>
      <c r="AD280" s="66"/>
      <c r="AE280" s="66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71"/>
      <c r="T281" s="62"/>
      <c r="U281" s="65"/>
      <c r="V281" s="65"/>
      <c r="W281" s="66"/>
      <c r="X281" s="66"/>
      <c r="Y281" s="66"/>
      <c r="Z281" s="66"/>
      <c r="AA281" s="66"/>
      <c r="AB281" s="66"/>
      <c r="AC281" s="66"/>
      <c r="AD281" s="66"/>
      <c r="AE281" s="66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71"/>
      <c r="T282" s="62"/>
      <c r="U282" s="65"/>
      <c r="V282" s="65"/>
      <c r="W282" s="66"/>
      <c r="X282" s="66"/>
      <c r="Y282" s="66"/>
      <c r="Z282" s="66"/>
      <c r="AA282" s="66"/>
      <c r="AB282" s="66"/>
      <c r="AC282" s="66"/>
      <c r="AD282" s="66"/>
      <c r="AE282" s="66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71"/>
      <c r="T283" s="62"/>
      <c r="U283" s="65"/>
      <c r="V283" s="65"/>
      <c r="W283" s="66"/>
      <c r="X283" s="66"/>
      <c r="Y283" s="66"/>
      <c r="Z283" s="66"/>
      <c r="AA283" s="66"/>
      <c r="AB283" s="66"/>
      <c r="AC283" s="66"/>
      <c r="AD283" s="66"/>
      <c r="AE283" s="66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71"/>
      <c r="T284" s="62"/>
      <c r="U284" s="65"/>
      <c r="V284" s="65"/>
      <c r="W284" s="66"/>
      <c r="X284" s="66"/>
      <c r="Y284" s="66"/>
      <c r="Z284" s="66"/>
      <c r="AA284" s="66"/>
      <c r="AB284" s="66"/>
      <c r="AC284" s="66"/>
      <c r="AD284" s="66"/>
      <c r="AE284" s="66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71"/>
      <c r="T285" s="62"/>
      <c r="U285" s="65"/>
      <c r="V285" s="65"/>
      <c r="W285" s="66"/>
      <c r="X285" s="66"/>
      <c r="Y285" s="66"/>
      <c r="Z285" s="66"/>
      <c r="AA285" s="66"/>
      <c r="AB285" s="66"/>
      <c r="AC285" s="66"/>
      <c r="AD285" s="66"/>
      <c r="AE285" s="66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71"/>
      <c r="T286" s="62"/>
      <c r="U286" s="65"/>
      <c r="V286" s="65"/>
      <c r="W286" s="66"/>
      <c r="X286" s="66"/>
      <c r="Y286" s="66"/>
      <c r="Z286" s="66"/>
      <c r="AA286" s="66"/>
      <c r="AB286" s="66"/>
      <c r="AC286" s="66"/>
      <c r="AD286" s="66"/>
      <c r="AE286" s="66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71"/>
      <c r="T287" s="62"/>
      <c r="U287" s="65"/>
      <c r="V287" s="65"/>
      <c r="W287" s="66"/>
      <c r="X287" s="66"/>
      <c r="Y287" s="66"/>
      <c r="Z287" s="66"/>
      <c r="AA287" s="66"/>
      <c r="AB287" s="66"/>
      <c r="AC287" s="66"/>
      <c r="AD287" s="66"/>
      <c r="AE287" s="66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71"/>
      <c r="T288" s="62"/>
      <c r="U288" s="65"/>
      <c r="V288" s="65"/>
      <c r="W288" s="66"/>
      <c r="X288" s="66"/>
      <c r="Y288" s="66"/>
      <c r="Z288" s="66"/>
      <c r="AA288" s="66"/>
      <c r="AB288" s="66"/>
      <c r="AC288" s="66"/>
      <c r="AD288" s="66"/>
      <c r="AE288" s="66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71"/>
      <c r="T289" s="62"/>
      <c r="U289" s="65"/>
      <c r="V289" s="65"/>
      <c r="W289" s="66"/>
      <c r="X289" s="66"/>
      <c r="Y289" s="66"/>
      <c r="Z289" s="66"/>
      <c r="AA289" s="66"/>
      <c r="AB289" s="66"/>
      <c r="AC289" s="66"/>
      <c r="AD289" s="66"/>
      <c r="AE289" s="66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71"/>
      <c r="T290" s="62"/>
      <c r="U290" s="65"/>
      <c r="V290" s="65"/>
      <c r="W290" s="66"/>
      <c r="X290" s="66"/>
      <c r="Y290" s="66"/>
      <c r="Z290" s="66"/>
      <c r="AA290" s="66"/>
      <c r="AB290" s="66"/>
      <c r="AC290" s="66"/>
      <c r="AD290" s="66"/>
      <c r="AE290" s="66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71"/>
      <c r="T291" s="62"/>
      <c r="U291" s="65"/>
      <c r="V291" s="65"/>
      <c r="W291" s="66"/>
      <c r="X291" s="66"/>
      <c r="Y291" s="66"/>
      <c r="Z291" s="66"/>
      <c r="AA291" s="66"/>
      <c r="AB291" s="66"/>
      <c r="AC291" s="66"/>
      <c r="AD291" s="66"/>
      <c r="AE291" s="66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71"/>
      <c r="T292" s="62"/>
      <c r="U292" s="65"/>
      <c r="V292" s="65"/>
      <c r="W292" s="66"/>
      <c r="X292" s="66"/>
      <c r="Y292" s="66"/>
      <c r="Z292" s="66"/>
      <c r="AA292" s="66"/>
      <c r="AB292" s="66"/>
      <c r="AC292" s="66"/>
      <c r="AD292" s="66"/>
      <c r="AE292" s="66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71"/>
      <c r="T293" s="62"/>
      <c r="U293" s="65"/>
      <c r="V293" s="65"/>
      <c r="W293" s="66"/>
      <c r="X293" s="66"/>
      <c r="Y293" s="66"/>
      <c r="Z293" s="66"/>
      <c r="AA293" s="66"/>
      <c r="AB293" s="66"/>
      <c r="AC293" s="66"/>
      <c r="AD293" s="66"/>
      <c r="AE293" s="66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71"/>
      <c r="T294" s="62"/>
      <c r="U294" s="65"/>
      <c r="V294" s="65"/>
      <c r="W294" s="66"/>
      <c r="X294" s="66"/>
      <c r="Y294" s="66"/>
      <c r="Z294" s="66"/>
      <c r="AA294" s="66"/>
      <c r="AB294" s="66"/>
      <c r="AC294" s="66"/>
      <c r="AD294" s="66"/>
      <c r="AE294" s="66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71"/>
      <c r="T295" s="62"/>
      <c r="U295" s="65"/>
      <c r="V295" s="65"/>
      <c r="W295" s="66"/>
      <c r="X295" s="66"/>
      <c r="Y295" s="66"/>
      <c r="Z295" s="66"/>
      <c r="AA295" s="66"/>
      <c r="AB295" s="66"/>
      <c r="AC295" s="66"/>
      <c r="AD295" s="66"/>
      <c r="AE295" s="66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71"/>
      <c r="T296" s="62"/>
      <c r="U296" s="65"/>
      <c r="V296" s="65"/>
      <c r="W296" s="66"/>
      <c r="X296" s="66"/>
      <c r="Y296" s="66"/>
      <c r="Z296" s="66"/>
      <c r="AA296" s="66"/>
      <c r="AB296" s="66"/>
      <c r="AC296" s="66"/>
      <c r="AD296" s="66"/>
      <c r="AE296" s="66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71"/>
      <c r="T297" s="62"/>
      <c r="U297" s="65"/>
      <c r="V297" s="65"/>
      <c r="W297" s="66"/>
      <c r="X297" s="66"/>
      <c r="Y297" s="66"/>
      <c r="Z297" s="66"/>
      <c r="AA297" s="66"/>
      <c r="AB297" s="66"/>
      <c r="AC297" s="66"/>
      <c r="AD297" s="66"/>
      <c r="AE297" s="66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71"/>
      <c r="T298" s="62"/>
      <c r="U298" s="65"/>
      <c r="V298" s="65"/>
      <c r="W298" s="66"/>
      <c r="X298" s="66"/>
      <c r="Y298" s="66"/>
      <c r="Z298" s="66"/>
      <c r="AA298" s="66"/>
      <c r="AB298" s="66"/>
      <c r="AC298" s="66"/>
      <c r="AD298" s="66"/>
      <c r="AE298" s="66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71"/>
      <c r="T299" s="62"/>
      <c r="U299" s="65"/>
      <c r="V299" s="65"/>
      <c r="W299" s="66"/>
      <c r="X299" s="66"/>
      <c r="Y299" s="66"/>
      <c r="Z299" s="66"/>
      <c r="AA299" s="66"/>
      <c r="AB299" s="66"/>
      <c r="AC299" s="66"/>
      <c r="AD299" s="66"/>
      <c r="AE299" s="66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71"/>
      <c r="T300" s="62"/>
      <c r="U300" s="65"/>
      <c r="V300" s="65"/>
      <c r="W300" s="66"/>
      <c r="X300" s="66"/>
      <c r="Y300" s="66"/>
      <c r="Z300" s="66"/>
      <c r="AA300" s="66"/>
      <c r="AB300" s="66"/>
      <c r="AC300" s="66"/>
      <c r="AD300" s="66"/>
      <c r="AE300" s="66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71"/>
      <c r="T301" s="62"/>
      <c r="U301" s="65"/>
      <c r="V301" s="65"/>
      <c r="W301" s="66"/>
      <c r="X301" s="66"/>
      <c r="Y301" s="66"/>
      <c r="Z301" s="66"/>
      <c r="AA301" s="66"/>
      <c r="AB301" s="66"/>
      <c r="AC301" s="66"/>
      <c r="AD301" s="66"/>
      <c r="AE301" s="66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71"/>
      <c r="T302" s="62"/>
      <c r="U302" s="65"/>
      <c r="V302" s="65"/>
      <c r="W302" s="66"/>
      <c r="X302" s="66"/>
      <c r="Y302" s="66"/>
      <c r="Z302" s="66"/>
      <c r="AA302" s="66"/>
      <c r="AB302" s="66"/>
      <c r="AC302" s="66"/>
      <c r="AD302" s="66"/>
      <c r="AE302" s="66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71"/>
      <c r="T303" s="62"/>
      <c r="U303" s="65"/>
      <c r="V303" s="65"/>
      <c r="W303" s="66"/>
      <c r="X303" s="66"/>
      <c r="Y303" s="66"/>
      <c r="Z303" s="66"/>
      <c r="AA303" s="66"/>
      <c r="AB303" s="66"/>
      <c r="AC303" s="66"/>
      <c r="AD303" s="66"/>
      <c r="AE303" s="66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71"/>
      <c r="T304" s="62"/>
      <c r="U304" s="65"/>
      <c r="V304" s="65"/>
      <c r="W304" s="66"/>
      <c r="X304" s="66"/>
      <c r="Y304" s="66"/>
      <c r="Z304" s="66"/>
      <c r="AA304" s="66"/>
      <c r="AB304" s="66"/>
      <c r="AC304" s="66"/>
      <c r="AD304" s="66"/>
      <c r="AE304" s="66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71"/>
      <c r="T305" s="62"/>
      <c r="U305" s="65"/>
      <c r="V305" s="65"/>
      <c r="W305" s="66"/>
      <c r="X305" s="66"/>
      <c r="Y305" s="66"/>
      <c r="Z305" s="66"/>
      <c r="AA305" s="66"/>
      <c r="AB305" s="66"/>
      <c r="AC305" s="66"/>
      <c r="AD305" s="66"/>
      <c r="AE305" s="66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71"/>
      <c r="T306" s="62"/>
      <c r="U306" s="65"/>
      <c r="V306" s="65"/>
      <c r="W306" s="66"/>
      <c r="X306" s="66"/>
      <c r="Y306" s="66"/>
      <c r="Z306" s="66"/>
      <c r="AA306" s="66"/>
      <c r="AB306" s="66"/>
      <c r="AC306" s="66"/>
      <c r="AD306" s="66"/>
      <c r="AE306" s="66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71"/>
      <c r="T307" s="62"/>
      <c r="U307" s="65"/>
      <c r="V307" s="65"/>
      <c r="W307" s="66"/>
      <c r="X307" s="66"/>
      <c r="Y307" s="66"/>
      <c r="Z307" s="66"/>
      <c r="AA307" s="66"/>
      <c r="AB307" s="66"/>
      <c r="AC307" s="66"/>
      <c r="AD307" s="66"/>
      <c r="AE307" s="66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71"/>
      <c r="T308" s="62"/>
      <c r="U308" s="65"/>
      <c r="V308" s="65"/>
      <c r="W308" s="66"/>
      <c r="X308" s="66"/>
      <c r="Y308" s="66"/>
      <c r="Z308" s="66"/>
      <c r="AA308" s="66"/>
      <c r="AB308" s="66"/>
      <c r="AC308" s="66"/>
      <c r="AD308" s="66"/>
      <c r="AE308" s="66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71"/>
      <c r="T309" s="62"/>
      <c r="U309" s="65"/>
      <c r="V309" s="65"/>
      <c r="W309" s="66"/>
      <c r="X309" s="66"/>
      <c r="Y309" s="66"/>
      <c r="Z309" s="66"/>
      <c r="AA309" s="66"/>
      <c r="AB309" s="66"/>
      <c r="AC309" s="66"/>
      <c r="AD309" s="66"/>
      <c r="AE309" s="66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71"/>
      <c r="T310" s="62"/>
      <c r="U310" s="65"/>
      <c r="V310" s="65"/>
      <c r="W310" s="66"/>
      <c r="X310" s="66"/>
      <c r="Y310" s="66"/>
      <c r="Z310" s="66"/>
      <c r="AA310" s="66"/>
      <c r="AB310" s="66"/>
      <c r="AC310" s="66"/>
      <c r="AD310" s="66"/>
      <c r="AE310" s="66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71"/>
      <c r="T311" s="62"/>
      <c r="U311" s="65"/>
      <c r="V311" s="65"/>
      <c r="W311" s="66"/>
      <c r="X311" s="66"/>
      <c r="Y311" s="66"/>
      <c r="Z311" s="66"/>
      <c r="AA311" s="66"/>
      <c r="AB311" s="66"/>
      <c r="AC311" s="66"/>
      <c r="AD311" s="66"/>
      <c r="AE311" s="66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71"/>
      <c r="T312" s="62"/>
      <c r="U312" s="65"/>
      <c r="V312" s="65"/>
      <c r="W312" s="66"/>
      <c r="X312" s="66"/>
      <c r="Y312" s="66"/>
      <c r="Z312" s="66"/>
      <c r="AA312" s="66"/>
      <c r="AB312" s="66"/>
      <c r="AC312" s="66"/>
      <c r="AD312" s="66"/>
      <c r="AE312" s="66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71"/>
      <c r="T313" s="62"/>
      <c r="U313" s="65"/>
      <c r="V313" s="65"/>
      <c r="W313" s="66"/>
      <c r="X313" s="66"/>
      <c r="Y313" s="66"/>
      <c r="Z313" s="66"/>
      <c r="AA313" s="66"/>
      <c r="AB313" s="66"/>
      <c r="AC313" s="66"/>
      <c r="AD313" s="66"/>
      <c r="AE313" s="66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71"/>
      <c r="T314" s="62"/>
      <c r="U314" s="65"/>
      <c r="V314" s="65"/>
      <c r="W314" s="66"/>
      <c r="X314" s="66"/>
      <c r="Y314" s="66"/>
      <c r="Z314" s="66"/>
      <c r="AA314" s="66"/>
      <c r="AB314" s="66"/>
      <c r="AC314" s="66"/>
      <c r="AD314" s="66"/>
      <c r="AE314" s="66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71"/>
      <c r="T315" s="62"/>
      <c r="U315" s="65"/>
      <c r="V315" s="65"/>
      <c r="W315" s="66"/>
      <c r="X315" s="66"/>
      <c r="Y315" s="66"/>
      <c r="Z315" s="66"/>
      <c r="AA315" s="66"/>
      <c r="AB315" s="66"/>
      <c r="AC315" s="66"/>
      <c r="AD315" s="66"/>
      <c r="AE315" s="66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71"/>
      <c r="T316" s="62"/>
      <c r="U316" s="65"/>
      <c r="V316" s="65"/>
      <c r="W316" s="66"/>
      <c r="X316" s="66"/>
      <c r="Y316" s="66"/>
      <c r="Z316" s="66"/>
      <c r="AA316" s="66"/>
      <c r="AB316" s="66"/>
      <c r="AC316" s="66"/>
      <c r="AD316" s="66"/>
      <c r="AE316" s="66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71"/>
      <c r="T317" s="62"/>
      <c r="U317" s="65"/>
      <c r="V317" s="65"/>
      <c r="W317" s="66"/>
      <c r="X317" s="66"/>
      <c r="Y317" s="66"/>
      <c r="Z317" s="66"/>
      <c r="AA317" s="66"/>
      <c r="AB317" s="66"/>
      <c r="AC317" s="66"/>
      <c r="AD317" s="66"/>
      <c r="AE317" s="66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71"/>
      <c r="T318" s="62"/>
      <c r="U318" s="65"/>
      <c r="V318" s="65"/>
      <c r="W318" s="66"/>
      <c r="X318" s="66"/>
      <c r="Y318" s="66"/>
      <c r="Z318" s="66"/>
      <c r="AA318" s="66"/>
      <c r="AB318" s="66"/>
      <c r="AC318" s="66"/>
      <c r="AD318" s="66"/>
      <c r="AE318" s="66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71"/>
      <c r="T319" s="62"/>
      <c r="U319" s="65"/>
      <c r="V319" s="65"/>
      <c r="W319" s="66"/>
      <c r="X319" s="66"/>
      <c r="Y319" s="66"/>
      <c r="Z319" s="66"/>
      <c r="AA319" s="66"/>
      <c r="AB319" s="66"/>
      <c r="AC319" s="66"/>
      <c r="AD319" s="66"/>
      <c r="AE319" s="66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71"/>
      <c r="T320" s="62"/>
      <c r="U320" s="65"/>
      <c r="V320" s="65"/>
      <c r="W320" s="66"/>
      <c r="X320" s="66"/>
      <c r="Y320" s="66"/>
      <c r="Z320" s="66"/>
      <c r="AA320" s="66"/>
      <c r="AB320" s="66"/>
      <c r="AC320" s="66"/>
      <c r="AD320" s="66"/>
      <c r="AE320" s="66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71"/>
      <c r="T321" s="62"/>
      <c r="U321" s="65"/>
      <c r="V321" s="65"/>
      <c r="W321" s="66"/>
      <c r="X321" s="66"/>
      <c r="Y321" s="66"/>
      <c r="Z321" s="66"/>
      <c r="AA321" s="66"/>
      <c r="AB321" s="66"/>
      <c r="AC321" s="66"/>
      <c r="AD321" s="66"/>
      <c r="AE321" s="66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71"/>
      <c r="T322" s="62"/>
      <c r="U322" s="65"/>
      <c r="V322" s="65"/>
      <c r="W322" s="66"/>
      <c r="X322" s="66"/>
      <c r="Y322" s="66"/>
      <c r="Z322" s="66"/>
      <c r="AA322" s="66"/>
      <c r="AB322" s="66"/>
      <c r="AC322" s="66"/>
      <c r="AD322" s="66"/>
      <c r="AE322" s="66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71"/>
      <c r="T323" s="62"/>
      <c r="U323" s="65"/>
      <c r="V323" s="65"/>
      <c r="W323" s="66"/>
      <c r="X323" s="66"/>
      <c r="Y323" s="66"/>
      <c r="Z323" s="66"/>
      <c r="AA323" s="66"/>
      <c r="AB323" s="66"/>
      <c r="AC323" s="66"/>
      <c r="AD323" s="66"/>
      <c r="AE323" s="66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71"/>
      <c r="T324" s="62"/>
      <c r="U324" s="65"/>
      <c r="V324" s="65"/>
      <c r="W324" s="66"/>
      <c r="X324" s="66"/>
      <c r="Y324" s="66"/>
      <c r="Z324" s="66"/>
      <c r="AA324" s="66"/>
      <c r="AB324" s="66"/>
      <c r="AC324" s="66"/>
      <c r="AD324" s="66"/>
      <c r="AE324" s="66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71"/>
      <c r="T325" s="62"/>
      <c r="U325" s="65"/>
      <c r="V325" s="65"/>
      <c r="W325" s="66"/>
      <c r="X325" s="66"/>
      <c r="Y325" s="66"/>
      <c r="Z325" s="66"/>
      <c r="AA325" s="66"/>
      <c r="AB325" s="66"/>
      <c r="AC325" s="66"/>
      <c r="AD325" s="66"/>
      <c r="AE325" s="66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71"/>
      <c r="T326" s="62"/>
      <c r="U326" s="65"/>
      <c r="V326" s="65"/>
      <c r="W326" s="66"/>
      <c r="X326" s="66"/>
      <c r="Y326" s="66"/>
      <c r="Z326" s="66"/>
      <c r="AA326" s="66"/>
      <c r="AB326" s="66"/>
      <c r="AC326" s="66"/>
      <c r="AD326" s="66"/>
      <c r="AE326" s="66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71"/>
      <c r="T327" s="62"/>
      <c r="U327" s="65"/>
      <c r="V327" s="65"/>
      <c r="W327" s="66"/>
      <c r="X327" s="66"/>
      <c r="Y327" s="66"/>
      <c r="Z327" s="66"/>
      <c r="AA327" s="66"/>
      <c r="AB327" s="66"/>
      <c r="AC327" s="66"/>
      <c r="AD327" s="66"/>
      <c r="AE327" s="66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71"/>
      <c r="T328" s="62"/>
      <c r="U328" s="65"/>
      <c r="V328" s="65"/>
      <c r="W328" s="66"/>
      <c r="X328" s="66"/>
      <c r="Y328" s="66"/>
      <c r="Z328" s="66"/>
      <c r="AA328" s="66"/>
      <c r="AB328" s="66"/>
      <c r="AC328" s="66"/>
      <c r="AD328" s="66"/>
      <c r="AE328" s="66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71"/>
      <c r="T329" s="62"/>
      <c r="U329" s="65"/>
      <c r="V329" s="65"/>
      <c r="W329" s="66"/>
      <c r="X329" s="66"/>
      <c r="Y329" s="66"/>
      <c r="Z329" s="66"/>
      <c r="AA329" s="66"/>
      <c r="AB329" s="66"/>
      <c r="AC329" s="66"/>
      <c r="AD329" s="66"/>
      <c r="AE329" s="66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71"/>
      <c r="T330" s="62"/>
      <c r="U330" s="65"/>
      <c r="V330" s="65"/>
      <c r="W330" s="66"/>
      <c r="X330" s="66"/>
      <c r="Y330" s="66"/>
      <c r="Z330" s="66"/>
      <c r="AA330" s="66"/>
      <c r="AB330" s="66"/>
      <c r="AC330" s="66"/>
      <c r="AD330" s="66"/>
      <c r="AE330" s="66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71"/>
      <c r="T331" s="62"/>
      <c r="U331" s="65"/>
      <c r="V331" s="65"/>
      <c r="W331" s="66"/>
      <c r="X331" s="66"/>
      <c r="Y331" s="66"/>
      <c r="Z331" s="66"/>
      <c r="AA331" s="66"/>
      <c r="AB331" s="66"/>
      <c r="AC331" s="66"/>
      <c r="AD331" s="66"/>
      <c r="AE331" s="66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71"/>
      <c r="T332" s="62"/>
      <c r="U332" s="65"/>
      <c r="V332" s="65"/>
      <c r="W332" s="66"/>
      <c r="X332" s="66"/>
      <c r="Y332" s="66"/>
      <c r="Z332" s="66"/>
      <c r="AA332" s="66"/>
      <c r="AB332" s="66"/>
      <c r="AC332" s="66"/>
      <c r="AD332" s="66"/>
      <c r="AE332" s="66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71"/>
      <c r="T333" s="62"/>
      <c r="U333" s="65"/>
      <c r="V333" s="65"/>
      <c r="W333" s="66"/>
      <c r="X333" s="66"/>
      <c r="Y333" s="66"/>
      <c r="Z333" s="66"/>
      <c r="AA333" s="66"/>
      <c r="AB333" s="66"/>
      <c r="AC333" s="66"/>
      <c r="AD333" s="66"/>
      <c r="AE333" s="66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71"/>
      <c r="T334" s="62"/>
      <c r="U334" s="65"/>
      <c r="V334" s="65"/>
      <c r="W334" s="66"/>
      <c r="X334" s="66"/>
      <c r="Y334" s="66"/>
      <c r="Z334" s="66"/>
      <c r="AA334" s="66"/>
      <c r="AB334" s="66"/>
      <c r="AC334" s="66"/>
      <c r="AD334" s="66"/>
      <c r="AE334" s="66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71"/>
      <c r="T335" s="62"/>
      <c r="U335" s="65"/>
      <c r="V335" s="65"/>
      <c r="W335" s="66"/>
      <c r="X335" s="66"/>
      <c r="Y335" s="66"/>
      <c r="Z335" s="66"/>
      <c r="AA335" s="66"/>
      <c r="AB335" s="66"/>
      <c r="AC335" s="66"/>
      <c r="AD335" s="66"/>
      <c r="AE335" s="66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71"/>
      <c r="T336" s="62"/>
      <c r="U336" s="65"/>
      <c r="V336" s="65"/>
      <c r="W336" s="66"/>
      <c r="X336" s="66"/>
      <c r="Y336" s="66"/>
      <c r="Z336" s="66"/>
      <c r="AA336" s="66"/>
      <c r="AB336" s="66"/>
      <c r="AC336" s="66"/>
      <c r="AD336" s="66"/>
      <c r="AE336" s="66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71"/>
      <c r="T337" s="62"/>
      <c r="U337" s="65"/>
      <c r="V337" s="65"/>
      <c r="W337" s="66"/>
      <c r="X337" s="66"/>
      <c r="Y337" s="66"/>
      <c r="Z337" s="66"/>
      <c r="AA337" s="66"/>
      <c r="AB337" s="66"/>
      <c r="AC337" s="66"/>
      <c r="AD337" s="66"/>
      <c r="AE337" s="66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71"/>
      <c r="T338" s="62"/>
      <c r="U338" s="65"/>
      <c r="V338" s="65"/>
      <c r="W338" s="66"/>
      <c r="X338" s="66"/>
      <c r="Y338" s="66"/>
      <c r="Z338" s="66"/>
      <c r="AA338" s="66"/>
      <c r="AB338" s="66"/>
      <c r="AC338" s="66"/>
      <c r="AD338" s="66"/>
      <c r="AE338" s="66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71"/>
      <c r="T339" s="62"/>
      <c r="U339" s="65"/>
      <c r="V339" s="65"/>
      <c r="W339" s="66"/>
      <c r="X339" s="66"/>
      <c r="Y339" s="66"/>
      <c r="Z339" s="66"/>
      <c r="AA339" s="66"/>
      <c r="AB339" s="66"/>
      <c r="AC339" s="66"/>
      <c r="AD339" s="66"/>
      <c r="AE339" s="66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71"/>
      <c r="T340" s="62"/>
      <c r="U340" s="65"/>
      <c r="V340" s="65"/>
      <c r="W340" s="66"/>
      <c r="X340" s="66"/>
      <c r="Y340" s="66"/>
      <c r="Z340" s="66"/>
      <c r="AA340" s="66"/>
      <c r="AB340" s="66"/>
      <c r="AC340" s="66"/>
      <c r="AD340" s="66"/>
      <c r="AE340" s="66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71"/>
      <c r="T341" s="62"/>
      <c r="U341" s="65"/>
      <c r="V341" s="65"/>
      <c r="W341" s="66"/>
      <c r="X341" s="66"/>
      <c r="Y341" s="66"/>
      <c r="Z341" s="66"/>
      <c r="AA341" s="66"/>
      <c r="AB341" s="66"/>
      <c r="AC341" s="66"/>
      <c r="AD341" s="66"/>
      <c r="AE341" s="66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71"/>
      <c r="T342" s="62"/>
      <c r="U342" s="65"/>
      <c r="V342" s="65"/>
      <c r="W342" s="66"/>
      <c r="X342" s="66"/>
      <c r="Y342" s="66"/>
      <c r="Z342" s="66"/>
      <c r="AA342" s="66"/>
      <c r="AB342" s="66"/>
      <c r="AC342" s="66"/>
      <c r="AD342" s="66"/>
      <c r="AE342" s="66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71"/>
      <c r="T343" s="62"/>
      <c r="U343" s="65"/>
      <c r="V343" s="65"/>
      <c r="W343" s="66"/>
      <c r="X343" s="66"/>
      <c r="Y343" s="66"/>
      <c r="Z343" s="66"/>
      <c r="AA343" s="66"/>
      <c r="AB343" s="66"/>
      <c r="AC343" s="66"/>
      <c r="AD343" s="66"/>
      <c r="AE343" s="66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71"/>
      <c r="T344" s="62"/>
      <c r="U344" s="65"/>
      <c r="V344" s="65"/>
      <c r="W344" s="66"/>
      <c r="X344" s="66"/>
      <c r="Y344" s="66"/>
      <c r="Z344" s="66"/>
      <c r="AA344" s="66"/>
      <c r="AB344" s="66"/>
      <c r="AC344" s="66"/>
      <c r="AD344" s="66"/>
      <c r="AE344" s="66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71"/>
      <c r="T345" s="62"/>
      <c r="U345" s="65"/>
      <c r="V345" s="65"/>
      <c r="W345" s="66"/>
      <c r="X345" s="66"/>
      <c r="Y345" s="66"/>
      <c r="Z345" s="66"/>
      <c r="AA345" s="66"/>
      <c r="AB345" s="66"/>
      <c r="AC345" s="66"/>
      <c r="AD345" s="66"/>
      <c r="AE345" s="66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71"/>
      <c r="T346" s="62"/>
      <c r="U346" s="65"/>
      <c r="V346" s="65"/>
      <c r="W346" s="66"/>
      <c r="X346" s="66"/>
      <c r="Y346" s="66"/>
      <c r="Z346" s="66"/>
      <c r="AA346" s="66"/>
      <c r="AB346" s="66"/>
      <c r="AC346" s="66"/>
      <c r="AD346" s="66"/>
      <c r="AE346" s="66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71"/>
      <c r="T347" s="62"/>
      <c r="U347" s="65"/>
      <c r="V347" s="65"/>
      <c r="W347" s="66"/>
      <c r="X347" s="66"/>
      <c r="Y347" s="66"/>
      <c r="Z347" s="66"/>
      <c r="AA347" s="66"/>
      <c r="AB347" s="66"/>
      <c r="AC347" s="66"/>
      <c r="AD347" s="66"/>
      <c r="AE347" s="66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71"/>
      <c r="T348" s="62"/>
      <c r="U348" s="65"/>
      <c r="V348" s="65"/>
      <c r="W348" s="66"/>
      <c r="X348" s="66"/>
      <c r="Y348" s="66"/>
      <c r="Z348" s="66"/>
      <c r="AA348" s="66"/>
      <c r="AB348" s="66"/>
      <c r="AC348" s="66"/>
      <c r="AD348" s="66"/>
      <c r="AE348" s="66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71"/>
      <c r="T349" s="62"/>
      <c r="U349" s="65"/>
      <c r="V349" s="65"/>
      <c r="W349" s="66"/>
      <c r="X349" s="66"/>
      <c r="Y349" s="66"/>
      <c r="Z349" s="66"/>
      <c r="AA349" s="66"/>
      <c r="AB349" s="66"/>
      <c r="AC349" s="66"/>
      <c r="AD349" s="66"/>
      <c r="AE349" s="66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71"/>
      <c r="T350" s="62"/>
      <c r="U350" s="65"/>
      <c r="V350" s="65"/>
      <c r="W350" s="66"/>
      <c r="X350" s="66"/>
      <c r="Y350" s="66"/>
      <c r="Z350" s="66"/>
      <c r="AA350" s="66"/>
      <c r="AB350" s="66"/>
      <c r="AC350" s="66"/>
      <c r="AD350" s="66"/>
      <c r="AE350" s="66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71"/>
      <c r="T351" s="62"/>
      <c r="U351" s="65"/>
      <c r="V351" s="65"/>
      <c r="W351" s="66"/>
      <c r="X351" s="66"/>
      <c r="Y351" s="66"/>
      <c r="Z351" s="66"/>
      <c r="AA351" s="66"/>
      <c r="AB351" s="66"/>
      <c r="AC351" s="66"/>
      <c r="AD351" s="66"/>
      <c r="AE351" s="66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71"/>
      <c r="T352" s="62"/>
      <c r="U352" s="65"/>
      <c r="V352" s="65"/>
      <c r="W352" s="66"/>
      <c r="X352" s="66"/>
      <c r="Y352" s="66"/>
      <c r="Z352" s="66"/>
      <c r="AA352" s="66"/>
      <c r="AB352" s="66"/>
      <c r="AC352" s="66"/>
      <c r="AD352" s="66"/>
      <c r="AE352" s="66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71"/>
      <c r="T353" s="62"/>
      <c r="U353" s="65"/>
      <c r="V353" s="65"/>
      <c r="W353" s="66"/>
      <c r="X353" s="66"/>
      <c r="Y353" s="66"/>
      <c r="Z353" s="66"/>
      <c r="AA353" s="66"/>
      <c r="AB353" s="66"/>
      <c r="AC353" s="66"/>
      <c r="AD353" s="66"/>
      <c r="AE353" s="66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71"/>
      <c r="T354" s="62"/>
      <c r="U354" s="65"/>
      <c r="V354" s="65"/>
      <c r="W354" s="66"/>
      <c r="X354" s="66"/>
      <c r="Y354" s="66"/>
      <c r="Z354" s="66"/>
      <c r="AA354" s="66"/>
      <c r="AB354" s="66"/>
      <c r="AC354" s="66"/>
      <c r="AD354" s="66"/>
      <c r="AE354" s="66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71"/>
      <c r="T355" s="62"/>
      <c r="U355" s="65"/>
      <c r="V355" s="65"/>
      <c r="W355" s="66"/>
      <c r="X355" s="66"/>
      <c r="Y355" s="66"/>
      <c r="Z355" s="66"/>
      <c r="AA355" s="66"/>
      <c r="AB355" s="66"/>
      <c r="AC355" s="66"/>
      <c r="AD355" s="66"/>
      <c r="AE355" s="66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71"/>
      <c r="T356" s="62"/>
      <c r="U356" s="65"/>
      <c r="V356" s="65"/>
      <c r="W356" s="66"/>
      <c r="X356" s="66"/>
      <c r="Y356" s="66"/>
      <c r="Z356" s="66"/>
      <c r="AA356" s="66"/>
      <c r="AB356" s="66"/>
      <c r="AC356" s="66"/>
      <c r="AD356" s="66"/>
      <c r="AE356" s="66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71"/>
      <c r="T357" s="62"/>
      <c r="U357" s="65"/>
      <c r="V357" s="65"/>
      <c r="W357" s="66"/>
      <c r="X357" s="66"/>
      <c r="Y357" s="66"/>
      <c r="Z357" s="66"/>
      <c r="AA357" s="66"/>
      <c r="AB357" s="66"/>
      <c r="AC357" s="66"/>
      <c r="AD357" s="66"/>
      <c r="AE357" s="66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71"/>
      <c r="T358" s="62"/>
      <c r="U358" s="65"/>
      <c r="V358" s="65"/>
      <c r="W358" s="66"/>
      <c r="X358" s="66"/>
      <c r="Y358" s="66"/>
      <c r="Z358" s="66"/>
      <c r="AA358" s="66"/>
      <c r="AB358" s="66"/>
      <c r="AC358" s="66"/>
      <c r="AD358" s="66"/>
      <c r="AE358" s="66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71"/>
      <c r="T359" s="62"/>
      <c r="U359" s="65"/>
      <c r="V359" s="65"/>
      <c r="W359" s="66"/>
      <c r="X359" s="66"/>
      <c r="Y359" s="66"/>
      <c r="Z359" s="66"/>
      <c r="AA359" s="66"/>
      <c r="AB359" s="66"/>
      <c r="AC359" s="66"/>
      <c r="AD359" s="66"/>
      <c r="AE359" s="66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71"/>
      <c r="T360" s="62"/>
      <c r="U360" s="65"/>
      <c r="V360" s="65"/>
      <c r="W360" s="66"/>
      <c r="X360" s="66"/>
      <c r="Y360" s="66"/>
      <c r="Z360" s="66"/>
      <c r="AA360" s="66"/>
      <c r="AB360" s="66"/>
      <c r="AC360" s="66"/>
      <c r="AD360" s="66"/>
      <c r="AE360" s="66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71"/>
      <c r="T361" s="62"/>
      <c r="U361" s="65"/>
      <c r="V361" s="65"/>
      <c r="W361" s="66"/>
      <c r="X361" s="66"/>
      <c r="Y361" s="66"/>
      <c r="Z361" s="66"/>
      <c r="AA361" s="66"/>
      <c r="AB361" s="66"/>
      <c r="AC361" s="66"/>
      <c r="AD361" s="66"/>
      <c r="AE361" s="66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71"/>
      <c r="T362" s="62"/>
      <c r="U362" s="65"/>
      <c r="V362" s="65"/>
      <c r="W362" s="66"/>
      <c r="X362" s="66"/>
      <c r="Y362" s="66"/>
      <c r="Z362" s="66"/>
      <c r="AA362" s="66"/>
      <c r="AB362" s="66"/>
      <c r="AC362" s="66"/>
      <c r="AD362" s="66"/>
      <c r="AE362" s="66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71"/>
      <c r="T363" s="62"/>
      <c r="U363" s="65"/>
      <c r="V363" s="65"/>
      <c r="W363" s="66"/>
      <c r="X363" s="66"/>
      <c r="Y363" s="66"/>
      <c r="Z363" s="66"/>
      <c r="AA363" s="66"/>
      <c r="AB363" s="66"/>
      <c r="AC363" s="66"/>
      <c r="AD363" s="66"/>
      <c r="AE363" s="66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71"/>
      <c r="T364" s="62"/>
      <c r="U364" s="65"/>
      <c r="V364" s="65"/>
      <c r="W364" s="66"/>
      <c r="X364" s="66"/>
      <c r="Y364" s="66"/>
      <c r="Z364" s="66"/>
      <c r="AA364" s="66"/>
      <c r="AB364" s="66"/>
      <c r="AC364" s="66"/>
      <c r="AD364" s="66"/>
      <c r="AE364" s="66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71"/>
      <c r="T365" s="62"/>
      <c r="U365" s="65"/>
      <c r="V365" s="65"/>
      <c r="W365" s="66"/>
      <c r="X365" s="66"/>
      <c r="Y365" s="66"/>
      <c r="Z365" s="66"/>
      <c r="AA365" s="66"/>
      <c r="AB365" s="66"/>
      <c r="AC365" s="66"/>
      <c r="AD365" s="66"/>
      <c r="AE365" s="66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71"/>
      <c r="T366" s="62"/>
      <c r="U366" s="65"/>
      <c r="V366" s="65"/>
      <c r="W366" s="66"/>
      <c r="X366" s="66"/>
      <c r="Y366" s="66"/>
      <c r="Z366" s="66"/>
      <c r="AA366" s="66"/>
      <c r="AB366" s="66"/>
      <c r="AC366" s="66"/>
      <c r="AD366" s="66"/>
      <c r="AE366" s="66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71"/>
      <c r="T367" s="62"/>
      <c r="U367" s="65"/>
      <c r="V367" s="65"/>
      <c r="W367" s="66"/>
      <c r="X367" s="66"/>
      <c r="Y367" s="66"/>
      <c r="Z367" s="66"/>
      <c r="AA367" s="66"/>
      <c r="AB367" s="66"/>
      <c r="AC367" s="66"/>
      <c r="AD367" s="66"/>
      <c r="AE367" s="66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71"/>
      <c r="T368" s="62"/>
      <c r="U368" s="65"/>
      <c r="V368" s="65"/>
      <c r="W368" s="66"/>
      <c r="X368" s="66"/>
      <c r="Y368" s="66"/>
      <c r="Z368" s="66"/>
      <c r="AA368" s="66"/>
      <c r="AB368" s="66"/>
      <c r="AC368" s="66"/>
      <c r="AD368" s="66"/>
      <c r="AE368" s="66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71"/>
      <c r="T369" s="62"/>
      <c r="U369" s="65"/>
      <c r="V369" s="65"/>
      <c r="W369" s="66"/>
      <c r="X369" s="66"/>
      <c r="Y369" s="66"/>
      <c r="Z369" s="66"/>
      <c r="AA369" s="66"/>
      <c r="AB369" s="66"/>
      <c r="AC369" s="66"/>
      <c r="AD369" s="66"/>
      <c r="AE369" s="66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71"/>
      <c r="T370" s="62"/>
      <c r="U370" s="65"/>
      <c r="V370" s="65"/>
      <c r="W370" s="66"/>
      <c r="X370" s="66"/>
      <c r="Y370" s="66"/>
      <c r="Z370" s="66"/>
      <c r="AA370" s="66"/>
      <c r="AB370" s="66"/>
      <c r="AC370" s="66"/>
      <c r="AD370" s="66"/>
      <c r="AE370" s="66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71"/>
      <c r="T371" s="62"/>
      <c r="U371" s="65"/>
      <c r="V371" s="65"/>
      <c r="W371" s="66"/>
      <c r="X371" s="66"/>
      <c r="Y371" s="66"/>
      <c r="Z371" s="66"/>
      <c r="AA371" s="66"/>
      <c r="AB371" s="66"/>
      <c r="AC371" s="66"/>
      <c r="AD371" s="66"/>
      <c r="AE371" s="66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71"/>
      <c r="T372" s="62"/>
      <c r="U372" s="65"/>
      <c r="V372" s="65"/>
      <c r="W372" s="66"/>
      <c r="X372" s="66"/>
      <c r="Y372" s="66"/>
      <c r="Z372" s="66"/>
      <c r="AA372" s="66"/>
      <c r="AB372" s="66"/>
      <c r="AC372" s="66"/>
      <c r="AD372" s="66"/>
      <c r="AE372" s="66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71"/>
      <c r="T373" s="62"/>
      <c r="U373" s="65"/>
      <c r="V373" s="65"/>
      <c r="W373" s="66"/>
      <c r="X373" s="66"/>
      <c r="Y373" s="66"/>
      <c r="Z373" s="66"/>
      <c r="AA373" s="66"/>
      <c r="AB373" s="66"/>
      <c r="AC373" s="66"/>
      <c r="AD373" s="66"/>
      <c r="AE373" s="66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71"/>
      <c r="T374" s="62"/>
      <c r="U374" s="65"/>
      <c r="V374" s="65"/>
      <c r="W374" s="66"/>
      <c r="X374" s="66"/>
      <c r="Y374" s="66"/>
      <c r="Z374" s="66"/>
      <c r="AA374" s="66"/>
      <c r="AB374" s="66"/>
      <c r="AC374" s="66"/>
      <c r="AD374" s="66"/>
      <c r="AE374" s="66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71"/>
      <c r="T375" s="62"/>
      <c r="U375" s="65"/>
      <c r="V375" s="65"/>
      <c r="W375" s="66"/>
      <c r="X375" s="66"/>
      <c r="Y375" s="66"/>
      <c r="Z375" s="66"/>
      <c r="AA375" s="66"/>
      <c r="AB375" s="66"/>
      <c r="AC375" s="66"/>
      <c r="AD375" s="66"/>
      <c r="AE375" s="66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71"/>
      <c r="T376" s="62"/>
      <c r="U376" s="65"/>
      <c r="V376" s="65"/>
      <c r="W376" s="66"/>
      <c r="X376" s="66"/>
      <c r="Y376" s="66"/>
      <c r="Z376" s="66"/>
      <c r="AA376" s="66"/>
      <c r="AB376" s="66"/>
      <c r="AC376" s="66"/>
      <c r="AD376" s="66"/>
      <c r="AE376" s="66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71"/>
      <c r="T377" s="62"/>
      <c r="U377" s="65"/>
      <c r="V377" s="65"/>
      <c r="W377" s="66"/>
      <c r="X377" s="66"/>
      <c r="Y377" s="66"/>
      <c r="Z377" s="66"/>
      <c r="AA377" s="66"/>
      <c r="AB377" s="66"/>
      <c r="AC377" s="66"/>
      <c r="AD377" s="66"/>
      <c r="AE377" s="66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71"/>
      <c r="T378" s="62"/>
      <c r="U378" s="65"/>
      <c r="V378" s="65"/>
      <c r="W378" s="66"/>
      <c r="X378" s="66"/>
      <c r="Y378" s="66"/>
      <c r="Z378" s="66"/>
      <c r="AA378" s="66"/>
      <c r="AB378" s="66"/>
      <c r="AC378" s="66"/>
      <c r="AD378" s="66"/>
      <c r="AE378" s="66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71"/>
      <c r="T379" s="62"/>
      <c r="U379" s="65"/>
      <c r="V379" s="65"/>
      <c r="W379" s="66"/>
      <c r="X379" s="66"/>
      <c r="Y379" s="66"/>
      <c r="Z379" s="66"/>
      <c r="AA379" s="66"/>
      <c r="AB379" s="66"/>
      <c r="AC379" s="66"/>
      <c r="AD379" s="66"/>
      <c r="AE379" s="66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71"/>
      <c r="T380" s="62"/>
      <c r="U380" s="65"/>
      <c r="V380" s="65"/>
      <c r="W380" s="66"/>
      <c r="X380" s="66"/>
      <c r="Y380" s="66"/>
      <c r="Z380" s="66"/>
      <c r="AA380" s="66"/>
      <c r="AB380" s="66"/>
      <c r="AC380" s="66"/>
      <c r="AD380" s="66"/>
      <c r="AE380" s="66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71"/>
      <c r="T381" s="62"/>
      <c r="U381" s="65"/>
      <c r="V381" s="65"/>
      <c r="W381" s="66"/>
      <c r="X381" s="66"/>
      <c r="Y381" s="66"/>
      <c r="Z381" s="66"/>
      <c r="AA381" s="66"/>
      <c r="AB381" s="66"/>
      <c r="AC381" s="66"/>
      <c r="AD381" s="66"/>
      <c r="AE381" s="66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71"/>
      <c r="T382" s="62"/>
      <c r="U382" s="65"/>
      <c r="V382" s="65"/>
      <c r="W382" s="66"/>
      <c r="X382" s="66"/>
      <c r="Y382" s="66"/>
      <c r="Z382" s="66"/>
      <c r="AA382" s="66"/>
      <c r="AB382" s="66"/>
      <c r="AC382" s="66"/>
      <c r="AD382" s="66"/>
      <c r="AE382" s="66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71"/>
      <c r="T383" s="62"/>
      <c r="U383" s="65"/>
      <c r="V383" s="65"/>
      <c r="W383" s="66"/>
      <c r="X383" s="66"/>
      <c r="Y383" s="66"/>
      <c r="Z383" s="66"/>
      <c r="AA383" s="66"/>
      <c r="AB383" s="66"/>
      <c r="AC383" s="66"/>
      <c r="AD383" s="66"/>
      <c r="AE383" s="66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71"/>
      <c r="T384" s="62"/>
      <c r="U384" s="65"/>
      <c r="V384" s="65"/>
      <c r="W384" s="66"/>
      <c r="X384" s="66"/>
      <c r="Y384" s="66"/>
      <c r="Z384" s="66"/>
      <c r="AA384" s="66"/>
      <c r="AB384" s="66"/>
      <c r="AC384" s="66"/>
      <c r="AD384" s="66"/>
      <c r="AE384" s="66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71"/>
      <c r="T385" s="62"/>
      <c r="U385" s="65"/>
      <c r="V385" s="65"/>
      <c r="W385" s="66"/>
      <c r="X385" s="66"/>
      <c r="Y385" s="66"/>
      <c r="Z385" s="66"/>
      <c r="AA385" s="66"/>
      <c r="AB385" s="66"/>
      <c r="AC385" s="66"/>
      <c r="AD385" s="66"/>
      <c r="AE385" s="66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71"/>
      <c r="T386" s="62"/>
      <c r="U386" s="65"/>
      <c r="V386" s="65"/>
      <c r="W386" s="66"/>
      <c r="X386" s="66"/>
      <c r="Y386" s="66"/>
      <c r="Z386" s="66"/>
      <c r="AA386" s="66"/>
      <c r="AB386" s="66"/>
      <c r="AC386" s="66"/>
      <c r="AD386" s="66"/>
      <c r="AE386" s="66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71"/>
      <c r="T387" s="62"/>
      <c r="U387" s="65"/>
      <c r="V387" s="65"/>
      <c r="W387" s="66"/>
      <c r="X387" s="66"/>
      <c r="Y387" s="66"/>
      <c r="Z387" s="66"/>
      <c r="AA387" s="66"/>
      <c r="AB387" s="66"/>
      <c r="AC387" s="66"/>
      <c r="AD387" s="66"/>
      <c r="AE387" s="66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71"/>
      <c r="T388" s="62"/>
      <c r="U388" s="65"/>
      <c r="V388" s="65"/>
      <c r="W388" s="66"/>
      <c r="X388" s="66"/>
      <c r="Y388" s="66"/>
      <c r="Z388" s="66"/>
      <c r="AA388" s="66"/>
      <c r="AB388" s="66"/>
      <c r="AC388" s="66"/>
      <c r="AD388" s="66"/>
      <c r="AE388" s="66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71"/>
      <c r="T389" s="62"/>
      <c r="U389" s="65"/>
      <c r="V389" s="65"/>
      <c r="W389" s="66"/>
      <c r="X389" s="66"/>
      <c r="Y389" s="66"/>
      <c r="Z389" s="66"/>
      <c r="AA389" s="66"/>
      <c r="AB389" s="66"/>
      <c r="AC389" s="66"/>
      <c r="AD389" s="66"/>
      <c r="AE389" s="66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71"/>
      <c r="T390" s="62"/>
      <c r="U390" s="65"/>
      <c r="V390" s="65"/>
      <c r="W390" s="66"/>
      <c r="X390" s="66"/>
      <c r="Y390" s="66"/>
      <c r="Z390" s="66"/>
      <c r="AA390" s="66"/>
      <c r="AB390" s="66"/>
      <c r="AC390" s="66"/>
      <c r="AD390" s="66"/>
      <c r="AE390" s="66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71"/>
      <c r="T391" s="62"/>
      <c r="U391" s="65"/>
      <c r="V391" s="65"/>
      <c r="W391" s="66"/>
      <c r="X391" s="66"/>
      <c r="Y391" s="66"/>
      <c r="Z391" s="66"/>
      <c r="AA391" s="66"/>
      <c r="AB391" s="66"/>
      <c r="AC391" s="66"/>
      <c r="AD391" s="66"/>
      <c r="AE391" s="66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71"/>
      <c r="T392" s="62"/>
      <c r="U392" s="65"/>
      <c r="V392" s="65"/>
      <c r="W392" s="66"/>
      <c r="X392" s="66"/>
      <c r="Y392" s="66"/>
      <c r="Z392" s="66"/>
      <c r="AA392" s="66"/>
      <c r="AB392" s="66"/>
      <c r="AC392" s="66"/>
      <c r="AD392" s="66"/>
      <c r="AE392" s="66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71"/>
      <c r="T393" s="62"/>
      <c r="U393" s="65"/>
      <c r="V393" s="65"/>
      <c r="W393" s="66"/>
      <c r="X393" s="66"/>
      <c r="Y393" s="66"/>
      <c r="Z393" s="66"/>
      <c r="AA393" s="66"/>
      <c r="AB393" s="66"/>
      <c r="AC393" s="66"/>
      <c r="AD393" s="66"/>
      <c r="AE393" s="66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71"/>
      <c r="T394" s="62"/>
      <c r="U394" s="65"/>
      <c r="V394" s="65"/>
      <c r="W394" s="66"/>
      <c r="X394" s="66"/>
      <c r="Y394" s="66"/>
      <c r="Z394" s="66"/>
      <c r="AA394" s="66"/>
      <c r="AB394" s="66"/>
      <c r="AC394" s="66"/>
      <c r="AD394" s="66"/>
      <c r="AE394" s="66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71"/>
      <c r="T395" s="62"/>
      <c r="U395" s="65"/>
      <c r="V395" s="65"/>
      <c r="W395" s="66"/>
      <c r="X395" s="66"/>
      <c r="Y395" s="66"/>
      <c r="Z395" s="66"/>
      <c r="AA395" s="66"/>
      <c r="AB395" s="66"/>
      <c r="AC395" s="66"/>
      <c r="AD395" s="66"/>
      <c r="AE395" s="66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71"/>
      <c r="T396" s="62"/>
      <c r="U396" s="65"/>
      <c r="V396" s="65"/>
      <c r="W396" s="66"/>
      <c r="X396" s="66"/>
      <c r="Y396" s="66"/>
      <c r="Z396" s="66"/>
      <c r="AA396" s="66"/>
      <c r="AB396" s="66"/>
      <c r="AC396" s="66"/>
      <c r="AD396" s="66"/>
      <c r="AE396" s="66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71"/>
      <c r="T397" s="62"/>
      <c r="U397" s="65"/>
      <c r="V397" s="65"/>
      <c r="W397" s="66"/>
      <c r="X397" s="66"/>
      <c r="Y397" s="66"/>
      <c r="Z397" s="66"/>
      <c r="AA397" s="66"/>
      <c r="AB397" s="66"/>
      <c r="AC397" s="66"/>
      <c r="AD397" s="66"/>
      <c r="AE397" s="66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71"/>
      <c r="T398" s="62"/>
      <c r="U398" s="65"/>
      <c r="V398" s="65"/>
      <c r="W398" s="66"/>
      <c r="X398" s="66"/>
      <c r="Y398" s="66"/>
      <c r="Z398" s="66"/>
      <c r="AA398" s="66"/>
      <c r="AB398" s="66"/>
      <c r="AC398" s="66"/>
      <c r="AD398" s="66"/>
      <c r="AE398" s="66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71"/>
      <c r="T399" s="62"/>
      <c r="U399" s="65"/>
      <c r="V399" s="65"/>
      <c r="W399" s="66"/>
      <c r="X399" s="66"/>
      <c r="Y399" s="66"/>
      <c r="Z399" s="66"/>
      <c r="AA399" s="66"/>
      <c r="AB399" s="66"/>
      <c r="AC399" s="66"/>
      <c r="AD399" s="66"/>
      <c r="AE399" s="66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71"/>
      <c r="T400" s="62"/>
      <c r="U400" s="65"/>
      <c r="V400" s="65"/>
      <c r="W400" s="66"/>
      <c r="X400" s="66"/>
      <c r="Y400" s="66"/>
      <c r="Z400" s="66"/>
      <c r="AA400" s="66"/>
      <c r="AB400" s="66"/>
      <c r="AC400" s="66"/>
      <c r="AD400" s="66"/>
      <c r="AE400" s="66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71"/>
      <c r="T401" s="62"/>
      <c r="U401" s="65"/>
      <c r="V401" s="65"/>
      <c r="W401" s="66"/>
      <c r="X401" s="66"/>
      <c r="Y401" s="66"/>
      <c r="Z401" s="66"/>
      <c r="AA401" s="66"/>
      <c r="AB401" s="66"/>
      <c r="AC401" s="66"/>
      <c r="AD401" s="66"/>
      <c r="AE401" s="66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71"/>
      <c r="T402" s="62"/>
      <c r="U402" s="65"/>
      <c r="V402" s="65"/>
      <c r="W402" s="66"/>
      <c r="X402" s="66"/>
      <c r="Y402" s="66"/>
      <c r="Z402" s="66"/>
      <c r="AA402" s="66"/>
      <c r="AB402" s="66"/>
      <c r="AC402" s="66"/>
      <c r="AD402" s="66"/>
      <c r="AE402" s="66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71"/>
      <c r="T403" s="62"/>
      <c r="U403" s="65"/>
      <c r="V403" s="65"/>
      <c r="W403" s="66"/>
      <c r="X403" s="66"/>
      <c r="Y403" s="66"/>
      <c r="Z403" s="66"/>
      <c r="AA403" s="66"/>
      <c r="AB403" s="66"/>
      <c r="AC403" s="66"/>
      <c r="AD403" s="66"/>
      <c r="AE403" s="66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71"/>
      <c r="T404" s="62"/>
      <c r="U404" s="65"/>
      <c r="V404" s="65"/>
      <c r="W404" s="66"/>
      <c r="X404" s="66"/>
      <c r="Y404" s="66"/>
      <c r="Z404" s="66"/>
      <c r="AA404" s="66"/>
      <c r="AB404" s="66"/>
      <c r="AC404" s="66"/>
      <c r="AD404" s="66"/>
      <c r="AE404" s="66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71"/>
      <c r="T405" s="62"/>
      <c r="U405" s="65"/>
      <c r="V405" s="65"/>
      <c r="W405" s="66"/>
      <c r="X405" s="66"/>
      <c r="Y405" s="66"/>
      <c r="Z405" s="66"/>
      <c r="AA405" s="66"/>
      <c r="AB405" s="66"/>
      <c r="AC405" s="66"/>
      <c r="AD405" s="66"/>
      <c r="AE405" s="66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71"/>
      <c r="T406" s="62"/>
      <c r="U406" s="65"/>
      <c r="V406" s="65"/>
      <c r="W406" s="66"/>
      <c r="X406" s="66"/>
      <c r="Y406" s="66"/>
      <c r="Z406" s="66"/>
      <c r="AA406" s="66"/>
      <c r="AB406" s="66"/>
      <c r="AC406" s="66"/>
      <c r="AD406" s="66"/>
      <c r="AE406" s="66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71"/>
      <c r="T407" s="62"/>
      <c r="U407" s="65"/>
      <c r="V407" s="65"/>
      <c r="W407" s="66"/>
      <c r="X407" s="66"/>
      <c r="Y407" s="66"/>
      <c r="Z407" s="66"/>
      <c r="AA407" s="66"/>
      <c r="AB407" s="66"/>
      <c r="AC407" s="66"/>
      <c r="AD407" s="66"/>
      <c r="AE407" s="66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71"/>
      <c r="T408" s="62"/>
      <c r="U408" s="65"/>
      <c r="V408" s="65"/>
      <c r="W408" s="66"/>
      <c r="X408" s="66"/>
      <c r="Y408" s="66"/>
      <c r="Z408" s="66"/>
      <c r="AA408" s="66"/>
      <c r="AB408" s="66"/>
      <c r="AC408" s="66"/>
      <c r="AD408" s="66"/>
      <c r="AE408" s="66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71"/>
      <c r="T409" s="62"/>
      <c r="U409" s="65"/>
      <c r="V409" s="65"/>
      <c r="W409" s="66"/>
      <c r="X409" s="66"/>
      <c r="Y409" s="66"/>
      <c r="Z409" s="66"/>
      <c r="AA409" s="66"/>
      <c r="AB409" s="66"/>
      <c r="AC409" s="66"/>
      <c r="AD409" s="66"/>
      <c r="AE409" s="66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71"/>
      <c r="T410" s="62"/>
      <c r="U410" s="65"/>
      <c r="V410" s="65"/>
      <c r="W410" s="66"/>
      <c r="X410" s="66"/>
      <c r="Y410" s="66"/>
      <c r="Z410" s="66"/>
      <c r="AA410" s="66"/>
      <c r="AB410" s="66"/>
      <c r="AC410" s="66"/>
      <c r="AD410" s="66"/>
      <c r="AE410" s="66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71"/>
      <c r="T411" s="62"/>
      <c r="U411" s="65"/>
      <c r="V411" s="65"/>
      <c r="W411" s="66"/>
      <c r="X411" s="66"/>
      <c r="Y411" s="66"/>
      <c r="Z411" s="66"/>
      <c r="AA411" s="66"/>
      <c r="AB411" s="66"/>
      <c r="AC411" s="66"/>
      <c r="AD411" s="66"/>
      <c r="AE411" s="66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71"/>
      <c r="T412" s="62"/>
      <c r="U412" s="65"/>
      <c r="V412" s="65"/>
      <c r="W412" s="66"/>
      <c r="X412" s="66"/>
      <c r="Y412" s="66"/>
      <c r="Z412" s="66"/>
      <c r="AA412" s="66"/>
      <c r="AB412" s="66"/>
      <c r="AC412" s="66"/>
      <c r="AD412" s="66"/>
      <c r="AE412" s="66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71"/>
      <c r="T413" s="62"/>
      <c r="U413" s="65"/>
      <c r="V413" s="65"/>
      <c r="W413" s="66"/>
      <c r="X413" s="66"/>
      <c r="Y413" s="66"/>
      <c r="Z413" s="66"/>
      <c r="AA413" s="66"/>
      <c r="AB413" s="66"/>
      <c r="AC413" s="66"/>
      <c r="AD413" s="66"/>
      <c r="AE413" s="66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71"/>
      <c r="T414" s="62"/>
      <c r="U414" s="65"/>
      <c r="V414" s="65"/>
      <c r="W414" s="66"/>
      <c r="X414" s="66"/>
      <c r="Y414" s="66"/>
      <c r="Z414" s="66"/>
      <c r="AA414" s="66"/>
      <c r="AB414" s="66"/>
      <c r="AC414" s="66"/>
      <c r="AD414" s="66"/>
      <c r="AE414" s="66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71"/>
      <c r="T415" s="62"/>
      <c r="U415" s="65"/>
      <c r="V415" s="65"/>
      <c r="W415" s="66"/>
      <c r="X415" s="66"/>
      <c r="Y415" s="66"/>
      <c r="Z415" s="66"/>
      <c r="AA415" s="66"/>
      <c r="AB415" s="66"/>
      <c r="AC415" s="66"/>
      <c r="AD415" s="66"/>
      <c r="AE415" s="66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71"/>
      <c r="T416" s="62"/>
      <c r="U416" s="65"/>
      <c r="V416" s="65"/>
      <c r="W416" s="66"/>
      <c r="X416" s="66"/>
      <c r="Y416" s="66"/>
      <c r="Z416" s="66"/>
      <c r="AA416" s="66"/>
      <c r="AB416" s="66"/>
      <c r="AC416" s="66"/>
      <c r="AD416" s="66"/>
      <c r="AE416" s="66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71"/>
      <c r="T417" s="62"/>
      <c r="U417" s="65"/>
      <c r="V417" s="65"/>
      <c r="W417" s="66"/>
      <c r="X417" s="66"/>
      <c r="Y417" s="66"/>
      <c r="Z417" s="66"/>
      <c r="AA417" s="66"/>
      <c r="AB417" s="66"/>
      <c r="AC417" s="66"/>
      <c r="AD417" s="66"/>
      <c r="AE417" s="66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71"/>
      <c r="T418" s="62"/>
      <c r="U418" s="65"/>
      <c r="V418" s="65"/>
      <c r="W418" s="66"/>
      <c r="X418" s="66"/>
      <c r="Y418" s="66"/>
      <c r="Z418" s="66"/>
      <c r="AA418" s="66"/>
      <c r="AB418" s="66"/>
      <c r="AC418" s="66"/>
      <c r="AD418" s="66"/>
      <c r="AE418" s="66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71"/>
      <c r="T419" s="62"/>
      <c r="U419" s="65"/>
      <c r="V419" s="65"/>
      <c r="W419" s="66"/>
      <c r="X419" s="66"/>
      <c r="Y419" s="66"/>
      <c r="Z419" s="66"/>
      <c r="AA419" s="66"/>
      <c r="AB419" s="66"/>
      <c r="AC419" s="66"/>
      <c r="AD419" s="66"/>
      <c r="AE419" s="66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71"/>
      <c r="T420" s="62"/>
      <c r="U420" s="65"/>
      <c r="V420" s="65"/>
      <c r="W420" s="66"/>
      <c r="X420" s="66"/>
      <c r="Y420" s="66"/>
      <c r="Z420" s="66"/>
      <c r="AA420" s="66"/>
      <c r="AB420" s="66"/>
      <c r="AC420" s="66"/>
      <c r="AD420" s="66"/>
      <c r="AE420" s="66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71"/>
      <c r="T421" s="62"/>
      <c r="U421" s="65"/>
      <c r="V421" s="65"/>
      <c r="W421" s="66"/>
      <c r="X421" s="66"/>
      <c r="Y421" s="66"/>
      <c r="Z421" s="66"/>
      <c r="AA421" s="66"/>
      <c r="AB421" s="66"/>
      <c r="AC421" s="66"/>
      <c r="AD421" s="66"/>
      <c r="AE421" s="66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71"/>
      <c r="T422" s="62"/>
      <c r="U422" s="65"/>
      <c r="V422" s="65"/>
      <c r="W422" s="66"/>
      <c r="X422" s="66"/>
      <c r="Y422" s="66"/>
      <c r="Z422" s="66"/>
      <c r="AA422" s="66"/>
      <c r="AB422" s="66"/>
      <c r="AC422" s="66"/>
      <c r="AD422" s="66"/>
      <c r="AE422" s="66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71"/>
      <c r="T423" s="62"/>
      <c r="U423" s="65"/>
      <c r="V423" s="65"/>
      <c r="W423" s="66"/>
      <c r="X423" s="66"/>
      <c r="Y423" s="66"/>
      <c r="Z423" s="66"/>
      <c r="AA423" s="66"/>
      <c r="AB423" s="66"/>
      <c r="AC423" s="66"/>
      <c r="AD423" s="66"/>
      <c r="AE423" s="66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71"/>
      <c r="T424" s="62"/>
      <c r="U424" s="65"/>
      <c r="V424" s="65"/>
      <c r="W424" s="66"/>
      <c r="X424" s="66"/>
      <c r="Y424" s="66"/>
      <c r="Z424" s="66"/>
      <c r="AA424" s="66"/>
      <c r="AB424" s="66"/>
      <c r="AC424" s="66"/>
      <c r="AD424" s="66"/>
      <c r="AE424" s="66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71"/>
      <c r="T425" s="62"/>
      <c r="U425" s="65"/>
      <c r="V425" s="65"/>
      <c r="W425" s="66"/>
      <c r="X425" s="66"/>
      <c r="Y425" s="66"/>
      <c r="Z425" s="66"/>
      <c r="AA425" s="66"/>
      <c r="AB425" s="66"/>
      <c r="AC425" s="66"/>
      <c r="AD425" s="66"/>
      <c r="AE425" s="66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71"/>
      <c r="T426" s="62"/>
      <c r="U426" s="65"/>
      <c r="V426" s="65"/>
      <c r="W426" s="66"/>
      <c r="X426" s="66"/>
      <c r="Y426" s="66"/>
      <c r="Z426" s="66"/>
      <c r="AA426" s="66"/>
      <c r="AB426" s="66"/>
      <c r="AC426" s="66"/>
      <c r="AD426" s="66"/>
      <c r="AE426" s="66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71"/>
      <c r="T427" s="62"/>
      <c r="U427" s="65"/>
      <c r="V427" s="65"/>
      <c r="W427" s="66"/>
      <c r="X427" s="66"/>
      <c r="Y427" s="66"/>
      <c r="Z427" s="66"/>
      <c r="AA427" s="66"/>
      <c r="AB427" s="66"/>
      <c r="AC427" s="66"/>
      <c r="AD427" s="66"/>
      <c r="AE427" s="66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71"/>
      <c r="T428" s="62"/>
      <c r="U428" s="65"/>
      <c r="V428" s="65"/>
      <c r="W428" s="66"/>
      <c r="X428" s="66"/>
      <c r="Y428" s="66"/>
      <c r="Z428" s="66"/>
      <c r="AA428" s="66"/>
      <c r="AB428" s="66"/>
      <c r="AC428" s="66"/>
      <c r="AD428" s="66"/>
      <c r="AE428" s="66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71"/>
      <c r="T429" s="62"/>
      <c r="U429" s="65"/>
      <c r="V429" s="65"/>
      <c r="W429" s="66"/>
      <c r="X429" s="66"/>
      <c r="Y429" s="66"/>
      <c r="Z429" s="66"/>
      <c r="AA429" s="66"/>
      <c r="AB429" s="66"/>
      <c r="AC429" s="66"/>
      <c r="AD429" s="66"/>
      <c r="AE429" s="66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71"/>
      <c r="T430" s="62"/>
      <c r="U430" s="65"/>
      <c r="V430" s="65"/>
      <c r="W430" s="66"/>
      <c r="X430" s="66"/>
      <c r="Y430" s="66"/>
      <c r="Z430" s="66"/>
      <c r="AA430" s="66"/>
      <c r="AB430" s="66"/>
      <c r="AC430" s="66"/>
      <c r="AD430" s="66"/>
      <c r="AE430" s="66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71"/>
      <c r="T431" s="62"/>
      <c r="U431" s="65"/>
      <c r="V431" s="65"/>
      <c r="W431" s="66"/>
      <c r="X431" s="66"/>
      <c r="Y431" s="66"/>
      <c r="Z431" s="66"/>
      <c r="AA431" s="66"/>
      <c r="AB431" s="66"/>
      <c r="AC431" s="66"/>
      <c r="AD431" s="66"/>
      <c r="AE431" s="66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71"/>
      <c r="T432" s="62"/>
      <c r="U432" s="65"/>
      <c r="V432" s="65"/>
      <c r="W432" s="66"/>
      <c r="X432" s="66"/>
      <c r="Y432" s="66"/>
      <c r="Z432" s="66"/>
      <c r="AA432" s="66"/>
      <c r="AB432" s="66"/>
      <c r="AC432" s="66"/>
      <c r="AD432" s="66"/>
      <c r="AE432" s="66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71"/>
      <c r="T433" s="62"/>
      <c r="U433" s="65"/>
      <c r="V433" s="65"/>
      <c r="W433" s="66"/>
      <c r="X433" s="66"/>
      <c r="Y433" s="66"/>
      <c r="Z433" s="66"/>
      <c r="AA433" s="66"/>
      <c r="AB433" s="66"/>
      <c r="AC433" s="66"/>
      <c r="AD433" s="66"/>
      <c r="AE433" s="66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71"/>
      <c r="T434" s="62"/>
      <c r="U434" s="65"/>
      <c r="V434" s="65"/>
      <c r="W434" s="66"/>
      <c r="X434" s="66"/>
      <c r="Y434" s="66"/>
      <c r="Z434" s="66"/>
      <c r="AA434" s="66"/>
      <c r="AB434" s="66"/>
      <c r="AC434" s="66"/>
      <c r="AD434" s="66"/>
      <c r="AE434" s="66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71"/>
      <c r="T435" s="62"/>
      <c r="U435" s="65"/>
      <c r="V435" s="65"/>
      <c r="W435" s="66"/>
      <c r="X435" s="66"/>
      <c r="Y435" s="66"/>
      <c r="Z435" s="66"/>
      <c r="AA435" s="66"/>
      <c r="AB435" s="66"/>
      <c r="AC435" s="66"/>
      <c r="AD435" s="66"/>
      <c r="AE435" s="66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71"/>
      <c r="T436" s="62"/>
      <c r="U436" s="65"/>
      <c r="V436" s="65"/>
      <c r="W436" s="66"/>
      <c r="X436" s="66"/>
      <c r="Y436" s="66"/>
      <c r="Z436" s="66"/>
      <c r="AA436" s="66"/>
      <c r="AB436" s="66"/>
      <c r="AC436" s="66"/>
      <c r="AD436" s="66"/>
      <c r="AE436" s="66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71"/>
      <c r="T437" s="62"/>
      <c r="U437" s="65"/>
      <c r="V437" s="65"/>
      <c r="W437" s="66"/>
      <c r="X437" s="66"/>
      <c r="Y437" s="66"/>
      <c r="Z437" s="66"/>
      <c r="AA437" s="66"/>
      <c r="AB437" s="66"/>
      <c r="AC437" s="66"/>
      <c r="AD437" s="66"/>
      <c r="AE437" s="66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71"/>
      <c r="T438" s="62"/>
      <c r="U438" s="65"/>
      <c r="V438" s="65"/>
      <c r="W438" s="66"/>
      <c r="X438" s="66"/>
      <c r="Y438" s="66"/>
      <c r="Z438" s="66"/>
      <c r="AA438" s="66"/>
      <c r="AB438" s="66"/>
      <c r="AC438" s="66"/>
      <c r="AD438" s="66"/>
      <c r="AE438" s="66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71"/>
      <c r="T439" s="62"/>
      <c r="U439" s="65"/>
      <c r="V439" s="65"/>
      <c r="W439" s="66"/>
      <c r="X439" s="66"/>
      <c r="Y439" s="66"/>
      <c r="Z439" s="66"/>
      <c r="AA439" s="66"/>
      <c r="AB439" s="66"/>
      <c r="AC439" s="66"/>
      <c r="AD439" s="66"/>
      <c r="AE439" s="66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71"/>
      <c r="T440" s="62"/>
      <c r="U440" s="65"/>
      <c r="V440" s="65"/>
      <c r="W440" s="66"/>
      <c r="X440" s="66"/>
      <c r="Y440" s="66"/>
      <c r="Z440" s="66"/>
      <c r="AA440" s="66"/>
      <c r="AB440" s="66"/>
      <c r="AC440" s="66"/>
      <c r="AD440" s="66"/>
      <c r="AE440" s="66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71"/>
      <c r="T441" s="62"/>
      <c r="U441" s="65"/>
      <c r="V441" s="65"/>
      <c r="W441" s="66"/>
      <c r="X441" s="66"/>
      <c r="Y441" s="66"/>
      <c r="Z441" s="66"/>
      <c r="AA441" s="66"/>
      <c r="AB441" s="66"/>
      <c r="AC441" s="66"/>
      <c r="AD441" s="66"/>
      <c r="AE441" s="66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71"/>
      <c r="T442" s="62"/>
      <c r="U442" s="65"/>
      <c r="V442" s="65"/>
      <c r="W442" s="66"/>
      <c r="X442" s="66"/>
      <c r="Y442" s="66"/>
      <c r="Z442" s="66"/>
      <c r="AA442" s="66"/>
      <c r="AB442" s="66"/>
      <c r="AC442" s="66"/>
      <c r="AD442" s="66"/>
      <c r="AE442" s="66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71"/>
      <c r="T443" s="62"/>
      <c r="U443" s="65"/>
      <c r="V443" s="65"/>
      <c r="W443" s="66"/>
      <c r="X443" s="66"/>
      <c r="Y443" s="66"/>
      <c r="Z443" s="66"/>
      <c r="AA443" s="66"/>
      <c r="AB443" s="66"/>
      <c r="AC443" s="66"/>
      <c r="AD443" s="66"/>
      <c r="AE443" s="66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71"/>
      <c r="T444" s="62"/>
      <c r="U444" s="65"/>
      <c r="V444" s="65"/>
      <c r="W444" s="66"/>
      <c r="X444" s="66"/>
      <c r="Y444" s="66"/>
      <c r="Z444" s="66"/>
      <c r="AA444" s="66"/>
      <c r="AB444" s="66"/>
      <c r="AC444" s="66"/>
      <c r="AD444" s="66"/>
      <c r="AE444" s="66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71"/>
      <c r="T445" s="62"/>
      <c r="U445" s="65"/>
      <c r="V445" s="65"/>
      <c r="W445" s="66"/>
      <c r="X445" s="66"/>
      <c r="Y445" s="66"/>
      <c r="Z445" s="66"/>
      <c r="AA445" s="66"/>
      <c r="AB445" s="66"/>
      <c r="AC445" s="66"/>
      <c r="AD445" s="66"/>
      <c r="AE445" s="66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71"/>
      <c r="T446" s="62"/>
      <c r="U446" s="65"/>
      <c r="V446" s="65"/>
      <c r="W446" s="66"/>
      <c r="X446" s="66"/>
      <c r="Y446" s="66"/>
      <c r="Z446" s="66"/>
      <c r="AA446" s="66"/>
      <c r="AB446" s="66"/>
      <c r="AC446" s="66"/>
      <c r="AD446" s="66"/>
      <c r="AE446" s="66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71"/>
      <c r="T447" s="62"/>
      <c r="U447" s="65"/>
      <c r="V447" s="65"/>
      <c r="W447" s="66"/>
      <c r="X447" s="66"/>
      <c r="Y447" s="66"/>
      <c r="Z447" s="66"/>
      <c r="AA447" s="66"/>
      <c r="AB447" s="66"/>
      <c r="AC447" s="66"/>
      <c r="AD447" s="66"/>
      <c r="AE447" s="66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71"/>
      <c r="T448" s="62"/>
      <c r="U448" s="65"/>
      <c r="V448" s="65"/>
      <c r="W448" s="66"/>
      <c r="X448" s="66"/>
      <c r="Y448" s="66"/>
      <c r="Z448" s="66"/>
      <c r="AA448" s="66"/>
      <c r="AB448" s="66"/>
      <c r="AC448" s="66"/>
      <c r="AD448" s="66"/>
      <c r="AE448" s="66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71"/>
      <c r="T449" s="62"/>
      <c r="U449" s="65"/>
      <c r="V449" s="65"/>
      <c r="W449" s="66"/>
      <c r="X449" s="66"/>
      <c r="Y449" s="66"/>
      <c r="Z449" s="66"/>
      <c r="AA449" s="66"/>
      <c r="AB449" s="66"/>
      <c r="AC449" s="66"/>
      <c r="AD449" s="66"/>
      <c r="AE449" s="66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71"/>
      <c r="T450" s="62"/>
      <c r="U450" s="65"/>
      <c r="V450" s="65"/>
      <c r="W450" s="66"/>
      <c r="X450" s="66"/>
      <c r="Y450" s="66"/>
      <c r="Z450" s="66"/>
      <c r="AA450" s="66"/>
      <c r="AB450" s="66"/>
      <c r="AC450" s="66"/>
      <c r="AD450" s="66"/>
      <c r="AE450" s="66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71"/>
      <c r="T451" s="62"/>
      <c r="U451" s="65"/>
      <c r="V451" s="65"/>
      <c r="W451" s="66"/>
      <c r="X451" s="66"/>
      <c r="Y451" s="66"/>
      <c r="Z451" s="66"/>
      <c r="AA451" s="66"/>
      <c r="AB451" s="66"/>
      <c r="AC451" s="66"/>
      <c r="AD451" s="66"/>
      <c r="AE451" s="66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71"/>
      <c r="T452" s="62"/>
      <c r="U452" s="65"/>
      <c r="V452" s="65"/>
      <c r="W452" s="66"/>
      <c r="X452" s="66"/>
      <c r="Y452" s="66"/>
      <c r="Z452" s="66"/>
      <c r="AA452" s="66"/>
      <c r="AB452" s="66"/>
      <c r="AC452" s="66"/>
      <c r="AD452" s="66"/>
      <c r="AE452" s="66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71"/>
      <c r="T453" s="62"/>
      <c r="U453" s="65"/>
      <c r="V453" s="65"/>
      <c r="W453" s="66"/>
      <c r="X453" s="66"/>
      <c r="Y453" s="66"/>
      <c r="Z453" s="66"/>
      <c r="AA453" s="66"/>
      <c r="AB453" s="66"/>
      <c r="AC453" s="66"/>
      <c r="AD453" s="66"/>
      <c r="AE453" s="66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71"/>
      <c r="T454" s="62"/>
      <c r="U454" s="65"/>
      <c r="V454" s="65"/>
      <c r="W454" s="66"/>
      <c r="X454" s="66"/>
      <c r="Y454" s="66"/>
      <c r="Z454" s="66"/>
      <c r="AA454" s="66"/>
      <c r="AB454" s="66"/>
      <c r="AC454" s="66"/>
      <c r="AD454" s="66"/>
      <c r="AE454" s="66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71"/>
      <c r="T455" s="62"/>
      <c r="U455" s="65"/>
      <c r="V455" s="65"/>
      <c r="W455" s="66"/>
      <c r="X455" s="66"/>
      <c r="Y455" s="66"/>
      <c r="Z455" s="66"/>
      <c r="AA455" s="66"/>
      <c r="AB455" s="66"/>
      <c r="AC455" s="66"/>
      <c r="AD455" s="66"/>
      <c r="AE455" s="66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71"/>
      <c r="T456" s="62"/>
      <c r="U456" s="65"/>
      <c r="V456" s="65"/>
      <c r="W456" s="66"/>
      <c r="X456" s="66"/>
      <c r="Y456" s="66"/>
      <c r="Z456" s="66"/>
      <c r="AA456" s="66"/>
      <c r="AB456" s="66"/>
      <c r="AC456" s="66"/>
      <c r="AD456" s="66"/>
      <c r="AE456" s="66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71"/>
      <c r="T457" s="62"/>
      <c r="U457" s="65"/>
      <c r="V457" s="65"/>
      <c r="W457" s="66"/>
      <c r="X457" s="66"/>
      <c r="Y457" s="66"/>
      <c r="Z457" s="66"/>
      <c r="AA457" s="66"/>
      <c r="AB457" s="66"/>
      <c r="AC457" s="66"/>
      <c r="AD457" s="66"/>
      <c r="AE457" s="66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71"/>
      <c r="T458" s="62"/>
      <c r="U458" s="65"/>
      <c r="V458" s="65"/>
      <c r="W458" s="66"/>
      <c r="X458" s="66"/>
      <c r="Y458" s="66"/>
      <c r="Z458" s="66"/>
      <c r="AA458" s="66"/>
      <c r="AB458" s="66"/>
      <c r="AC458" s="66"/>
      <c r="AD458" s="66"/>
      <c r="AE458" s="66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71"/>
      <c r="T459" s="62"/>
      <c r="U459" s="65"/>
      <c r="V459" s="65"/>
      <c r="W459" s="66"/>
      <c r="X459" s="66"/>
      <c r="Y459" s="66"/>
      <c r="Z459" s="66"/>
      <c r="AA459" s="66"/>
      <c r="AB459" s="66"/>
      <c r="AC459" s="66"/>
      <c r="AD459" s="66"/>
      <c r="AE459" s="66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71"/>
      <c r="T460" s="62"/>
      <c r="U460" s="65"/>
      <c r="V460" s="65"/>
      <c r="W460" s="66"/>
      <c r="X460" s="66"/>
      <c r="Y460" s="66"/>
      <c r="Z460" s="66"/>
      <c r="AA460" s="66"/>
      <c r="AB460" s="66"/>
      <c r="AC460" s="66"/>
      <c r="AD460" s="66"/>
      <c r="AE460" s="66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71"/>
      <c r="T461" s="62"/>
      <c r="U461" s="65"/>
      <c r="V461" s="65"/>
      <c r="W461" s="66"/>
      <c r="X461" s="66"/>
      <c r="Y461" s="66"/>
      <c r="Z461" s="66"/>
      <c r="AA461" s="66"/>
      <c r="AB461" s="66"/>
      <c r="AC461" s="66"/>
      <c r="AD461" s="66"/>
      <c r="AE461" s="66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71"/>
      <c r="T462" s="62"/>
      <c r="U462" s="65"/>
      <c r="V462" s="65"/>
      <c r="W462" s="66"/>
      <c r="X462" s="66"/>
      <c r="Y462" s="66"/>
      <c r="Z462" s="66"/>
      <c r="AA462" s="66"/>
      <c r="AB462" s="66"/>
      <c r="AC462" s="66"/>
      <c r="AD462" s="66"/>
      <c r="AE462" s="66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71"/>
      <c r="T463" s="62"/>
      <c r="U463" s="65"/>
      <c r="V463" s="65"/>
      <c r="W463" s="66"/>
      <c r="X463" s="66"/>
      <c r="Y463" s="66"/>
      <c r="Z463" s="66"/>
      <c r="AA463" s="66"/>
      <c r="AB463" s="66"/>
      <c r="AC463" s="66"/>
      <c r="AD463" s="66"/>
      <c r="AE463" s="66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71"/>
      <c r="T464" s="62"/>
      <c r="U464" s="65"/>
      <c r="V464" s="65"/>
      <c r="W464" s="66"/>
      <c r="X464" s="66"/>
      <c r="Y464" s="66"/>
      <c r="Z464" s="66"/>
      <c r="AA464" s="66"/>
      <c r="AB464" s="66"/>
      <c r="AC464" s="66"/>
      <c r="AD464" s="66"/>
      <c r="AE464" s="66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71"/>
      <c r="T465" s="62"/>
      <c r="U465" s="65"/>
      <c r="V465" s="65"/>
      <c r="W465" s="66"/>
      <c r="X465" s="66"/>
      <c r="Y465" s="66"/>
      <c r="Z465" s="66"/>
      <c r="AA465" s="66"/>
      <c r="AB465" s="66"/>
      <c r="AC465" s="66"/>
      <c r="AD465" s="66"/>
      <c r="AE465" s="66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71"/>
      <c r="T466" s="62"/>
      <c r="U466" s="65"/>
      <c r="V466" s="65"/>
      <c r="W466" s="66"/>
      <c r="X466" s="66"/>
      <c r="Y466" s="66"/>
      <c r="Z466" s="66"/>
      <c r="AA466" s="66"/>
      <c r="AB466" s="66"/>
      <c r="AC466" s="66"/>
      <c r="AD466" s="66"/>
      <c r="AE466" s="66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71"/>
      <c r="T467" s="62"/>
      <c r="U467" s="65"/>
      <c r="V467" s="65"/>
      <c r="W467" s="66"/>
      <c r="X467" s="66"/>
      <c r="Y467" s="66"/>
      <c r="Z467" s="66"/>
      <c r="AA467" s="66"/>
      <c r="AB467" s="66"/>
      <c r="AC467" s="66"/>
      <c r="AD467" s="66"/>
      <c r="AE467" s="66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71"/>
      <c r="T468" s="62"/>
      <c r="U468" s="65"/>
      <c r="V468" s="65"/>
      <c r="W468" s="66"/>
      <c r="X468" s="66"/>
      <c r="Y468" s="66"/>
      <c r="Z468" s="66"/>
      <c r="AA468" s="66"/>
      <c r="AB468" s="66"/>
      <c r="AC468" s="66"/>
      <c r="AD468" s="66"/>
      <c r="AE468" s="66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71"/>
      <c r="T469" s="62"/>
      <c r="U469" s="65"/>
      <c r="V469" s="65"/>
      <c r="W469" s="66"/>
      <c r="X469" s="66"/>
      <c r="Y469" s="66"/>
      <c r="Z469" s="66"/>
      <c r="AA469" s="66"/>
      <c r="AB469" s="66"/>
      <c r="AC469" s="66"/>
      <c r="AD469" s="66"/>
      <c r="AE469" s="66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71"/>
      <c r="T470" s="62"/>
      <c r="U470" s="65"/>
      <c r="V470" s="65"/>
      <c r="W470" s="66"/>
      <c r="X470" s="66"/>
      <c r="Y470" s="66"/>
      <c r="Z470" s="66"/>
      <c r="AA470" s="66"/>
      <c r="AB470" s="66"/>
      <c r="AC470" s="66"/>
      <c r="AD470" s="66"/>
      <c r="AE470" s="66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71"/>
      <c r="T471" s="62"/>
      <c r="U471" s="65"/>
      <c r="V471" s="65"/>
      <c r="W471" s="66"/>
      <c r="X471" s="66"/>
      <c r="Y471" s="66"/>
      <c r="Z471" s="66"/>
      <c r="AA471" s="66"/>
      <c r="AB471" s="66"/>
      <c r="AC471" s="66"/>
      <c r="AD471" s="66"/>
      <c r="AE471" s="66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71"/>
      <c r="T472" s="62"/>
      <c r="U472" s="65"/>
      <c r="V472" s="65"/>
      <c r="W472" s="66"/>
      <c r="X472" s="66"/>
      <c r="Y472" s="66"/>
      <c r="Z472" s="66"/>
      <c r="AA472" s="66"/>
      <c r="AB472" s="66"/>
      <c r="AC472" s="66"/>
      <c r="AD472" s="66"/>
      <c r="AE472" s="66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71"/>
      <c r="T473" s="62"/>
      <c r="U473" s="65"/>
      <c r="V473" s="65"/>
      <c r="W473" s="66"/>
      <c r="X473" s="66"/>
      <c r="Y473" s="66"/>
      <c r="Z473" s="66"/>
      <c r="AA473" s="66"/>
      <c r="AB473" s="66"/>
      <c r="AC473" s="66"/>
      <c r="AD473" s="66"/>
      <c r="AE473" s="66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71"/>
      <c r="T474" s="62"/>
      <c r="U474" s="65"/>
      <c r="V474" s="65"/>
      <c r="W474" s="66"/>
      <c r="X474" s="66"/>
      <c r="Y474" s="66"/>
      <c r="Z474" s="66"/>
      <c r="AA474" s="66"/>
      <c r="AB474" s="66"/>
      <c r="AC474" s="66"/>
      <c r="AD474" s="66"/>
      <c r="AE474" s="66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71"/>
      <c r="T475" s="62"/>
      <c r="U475" s="65"/>
      <c r="V475" s="65"/>
      <c r="W475" s="66"/>
      <c r="X475" s="66"/>
      <c r="Y475" s="66"/>
      <c r="Z475" s="66"/>
      <c r="AA475" s="66"/>
      <c r="AB475" s="66"/>
      <c r="AC475" s="66"/>
      <c r="AD475" s="66"/>
      <c r="AE475" s="66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71"/>
      <c r="T476" s="62"/>
      <c r="U476" s="65"/>
      <c r="V476" s="65"/>
      <c r="W476" s="66"/>
      <c r="X476" s="66"/>
      <c r="Y476" s="66"/>
      <c r="Z476" s="66"/>
      <c r="AA476" s="66"/>
      <c r="AB476" s="66"/>
      <c r="AC476" s="66"/>
      <c r="AD476" s="66"/>
      <c r="AE476" s="66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71"/>
      <c r="T477" s="62"/>
      <c r="U477" s="65"/>
      <c r="V477" s="65"/>
      <c r="W477" s="66"/>
      <c r="X477" s="66"/>
      <c r="Y477" s="66"/>
      <c r="Z477" s="66"/>
      <c r="AA477" s="66"/>
      <c r="AB477" s="66"/>
      <c r="AC477" s="66"/>
      <c r="AD477" s="66"/>
      <c r="AE477" s="66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71"/>
      <c r="T478" s="62"/>
      <c r="U478" s="65"/>
      <c r="V478" s="65"/>
      <c r="W478" s="66"/>
      <c r="X478" s="66"/>
      <c r="Y478" s="66"/>
      <c r="Z478" s="66"/>
      <c r="AA478" s="66"/>
      <c r="AB478" s="66"/>
      <c r="AC478" s="66"/>
      <c r="AD478" s="66"/>
      <c r="AE478" s="66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71"/>
      <c r="T479" s="62"/>
      <c r="U479" s="65"/>
      <c r="V479" s="65"/>
      <c r="W479" s="66"/>
      <c r="X479" s="66"/>
      <c r="Y479" s="66"/>
      <c r="Z479" s="66"/>
      <c r="AA479" s="66"/>
      <c r="AB479" s="66"/>
      <c r="AC479" s="66"/>
      <c r="AD479" s="66"/>
      <c r="AE479" s="66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71"/>
      <c r="T480" s="62"/>
      <c r="U480" s="65"/>
      <c r="V480" s="65"/>
      <c r="W480" s="66"/>
      <c r="X480" s="66"/>
      <c r="Y480" s="66"/>
      <c r="Z480" s="66"/>
      <c r="AA480" s="66"/>
      <c r="AB480" s="66"/>
      <c r="AC480" s="66"/>
      <c r="AD480" s="66"/>
      <c r="AE480" s="66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71"/>
      <c r="T481" s="62"/>
      <c r="U481" s="65"/>
      <c r="V481" s="65"/>
      <c r="W481" s="66"/>
      <c r="X481" s="66"/>
      <c r="Y481" s="66"/>
      <c r="Z481" s="66"/>
      <c r="AA481" s="66"/>
      <c r="AB481" s="66"/>
      <c r="AC481" s="66"/>
      <c r="AD481" s="66"/>
      <c r="AE481" s="66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71"/>
      <c r="T482" s="62"/>
      <c r="U482" s="65"/>
      <c r="V482" s="65"/>
      <c r="W482" s="66"/>
      <c r="X482" s="66"/>
      <c r="Y482" s="66"/>
      <c r="Z482" s="66"/>
      <c r="AA482" s="66"/>
      <c r="AB482" s="66"/>
      <c r="AC482" s="66"/>
      <c r="AD482" s="66"/>
      <c r="AE482" s="66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71"/>
      <c r="T483" s="62"/>
      <c r="U483" s="65"/>
      <c r="V483" s="65"/>
      <c r="W483" s="66"/>
      <c r="X483" s="66"/>
      <c r="Y483" s="66"/>
      <c r="Z483" s="66"/>
      <c r="AA483" s="66"/>
      <c r="AB483" s="66"/>
      <c r="AC483" s="66"/>
      <c r="AD483" s="66"/>
      <c r="AE483" s="66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71"/>
      <c r="T484" s="62"/>
      <c r="U484" s="65"/>
      <c r="V484" s="65"/>
      <c r="W484" s="66"/>
      <c r="X484" s="66"/>
      <c r="Y484" s="66"/>
      <c r="Z484" s="66"/>
      <c r="AA484" s="66"/>
      <c r="AB484" s="66"/>
      <c r="AC484" s="66"/>
      <c r="AD484" s="66"/>
      <c r="AE484" s="66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71"/>
      <c r="T485" s="62"/>
      <c r="U485" s="65"/>
      <c r="V485" s="65"/>
      <c r="W485" s="66"/>
      <c r="X485" s="66"/>
      <c r="Y485" s="66"/>
      <c r="Z485" s="66"/>
      <c r="AA485" s="66"/>
      <c r="AB485" s="66"/>
      <c r="AC485" s="66"/>
      <c r="AD485" s="66"/>
      <c r="AE485" s="66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71"/>
      <c r="T486" s="62"/>
      <c r="U486" s="65"/>
      <c r="V486" s="65"/>
      <c r="W486" s="66"/>
      <c r="X486" s="66"/>
      <c r="Y486" s="66"/>
      <c r="Z486" s="66"/>
      <c r="AA486" s="66"/>
      <c r="AB486" s="66"/>
      <c r="AC486" s="66"/>
      <c r="AD486" s="66"/>
      <c r="AE486" s="66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71"/>
      <c r="T487" s="62"/>
      <c r="U487" s="65"/>
      <c r="V487" s="65"/>
      <c r="W487" s="66"/>
      <c r="X487" s="66"/>
      <c r="Y487" s="66"/>
      <c r="Z487" s="66"/>
      <c r="AA487" s="66"/>
      <c r="AB487" s="66"/>
      <c r="AC487" s="66"/>
      <c r="AD487" s="66"/>
      <c r="AE487" s="66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71"/>
      <c r="T488" s="62"/>
      <c r="U488" s="65"/>
      <c r="V488" s="65"/>
      <c r="W488" s="66"/>
      <c r="X488" s="66"/>
      <c r="Y488" s="66"/>
      <c r="Z488" s="66"/>
      <c r="AA488" s="66"/>
      <c r="AB488" s="66"/>
      <c r="AC488" s="66"/>
      <c r="AD488" s="66"/>
      <c r="AE488" s="66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71"/>
      <c r="T489" s="62"/>
      <c r="U489" s="65"/>
      <c r="V489" s="65"/>
      <c r="W489" s="66"/>
      <c r="X489" s="66"/>
      <c r="Y489" s="66"/>
      <c r="Z489" s="66"/>
      <c r="AA489" s="66"/>
      <c r="AB489" s="66"/>
      <c r="AC489" s="66"/>
      <c r="AD489" s="66"/>
      <c r="AE489" s="66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71"/>
      <c r="T490" s="62"/>
      <c r="U490" s="65"/>
      <c r="V490" s="65"/>
      <c r="W490" s="66"/>
      <c r="X490" s="66"/>
      <c r="Y490" s="66"/>
      <c r="Z490" s="66"/>
      <c r="AA490" s="66"/>
      <c r="AB490" s="66"/>
      <c r="AC490" s="66"/>
      <c r="AD490" s="66"/>
      <c r="AE490" s="66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71"/>
      <c r="T491" s="62"/>
      <c r="U491" s="65"/>
      <c r="V491" s="65"/>
      <c r="W491" s="66"/>
      <c r="X491" s="66"/>
      <c r="Y491" s="66"/>
      <c r="Z491" s="66"/>
      <c r="AA491" s="66"/>
      <c r="AB491" s="66"/>
      <c r="AC491" s="66"/>
      <c r="AD491" s="66"/>
      <c r="AE491" s="66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71"/>
      <c r="T492" s="62"/>
      <c r="U492" s="65"/>
      <c r="V492" s="65"/>
      <c r="W492" s="66"/>
      <c r="X492" s="66"/>
      <c r="Y492" s="66"/>
      <c r="Z492" s="66"/>
      <c r="AA492" s="66"/>
      <c r="AB492" s="66"/>
      <c r="AC492" s="66"/>
      <c r="AD492" s="66"/>
      <c r="AE492" s="66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71"/>
      <c r="T493" s="62"/>
      <c r="U493" s="65"/>
      <c r="V493" s="65"/>
      <c r="W493" s="66"/>
      <c r="X493" s="66"/>
      <c r="Y493" s="66"/>
      <c r="Z493" s="66"/>
      <c r="AA493" s="66"/>
      <c r="AB493" s="66"/>
      <c r="AC493" s="66"/>
      <c r="AD493" s="66"/>
      <c r="AE493" s="66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71"/>
      <c r="T494" s="62"/>
      <c r="U494" s="65"/>
      <c r="V494" s="65"/>
      <c r="W494" s="66"/>
      <c r="X494" s="66"/>
      <c r="Y494" s="66"/>
      <c r="Z494" s="66"/>
      <c r="AA494" s="66"/>
      <c r="AB494" s="66"/>
      <c r="AC494" s="66"/>
      <c r="AD494" s="66"/>
      <c r="AE494" s="66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71"/>
      <c r="T495" s="62"/>
      <c r="U495" s="65"/>
      <c r="V495" s="65"/>
      <c r="W495" s="66"/>
      <c r="X495" s="66"/>
      <c r="Y495" s="66"/>
      <c r="Z495" s="66"/>
      <c r="AA495" s="66"/>
      <c r="AB495" s="66"/>
      <c r="AC495" s="66"/>
      <c r="AD495" s="66"/>
      <c r="AE495" s="66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71"/>
      <c r="T496" s="62"/>
      <c r="U496" s="65"/>
      <c r="V496" s="65"/>
      <c r="W496" s="66"/>
      <c r="X496" s="66"/>
      <c r="Y496" s="66"/>
      <c r="Z496" s="66"/>
      <c r="AA496" s="66"/>
      <c r="AB496" s="66"/>
      <c r="AC496" s="66"/>
      <c r="AD496" s="66"/>
      <c r="AE496" s="66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71"/>
      <c r="T497" s="62"/>
      <c r="U497" s="65"/>
      <c r="V497" s="65"/>
      <c r="W497" s="66"/>
      <c r="X497" s="66"/>
      <c r="Y497" s="66"/>
      <c r="Z497" s="66"/>
      <c r="AA497" s="66"/>
      <c r="AB497" s="66"/>
      <c r="AC497" s="66"/>
      <c r="AD497" s="66"/>
      <c r="AE497" s="66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71"/>
      <c r="T498" s="62"/>
      <c r="U498" s="65"/>
      <c r="V498" s="65"/>
      <c r="W498" s="66"/>
      <c r="X498" s="66"/>
      <c r="Y498" s="66"/>
      <c r="Z498" s="66"/>
      <c r="AA498" s="66"/>
      <c r="AB498" s="66"/>
      <c r="AC498" s="66"/>
      <c r="AD498" s="66"/>
      <c r="AE498" s="66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71"/>
      <c r="T499" s="62"/>
      <c r="U499" s="65"/>
      <c r="V499" s="65"/>
      <c r="W499" s="66"/>
      <c r="X499" s="66"/>
      <c r="Y499" s="66"/>
      <c r="Z499" s="66"/>
      <c r="AA499" s="66"/>
      <c r="AB499" s="66"/>
      <c r="AC499" s="66"/>
      <c r="AD499" s="66"/>
      <c r="AE499" s="66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71"/>
      <c r="T500" s="62"/>
      <c r="U500" s="65"/>
      <c r="V500" s="65"/>
      <c r="W500" s="66"/>
      <c r="X500" s="66"/>
      <c r="Y500" s="66"/>
      <c r="Z500" s="66"/>
      <c r="AA500" s="66"/>
      <c r="AB500" s="66"/>
      <c r="AC500" s="66"/>
      <c r="AD500" s="66"/>
      <c r="AE500" s="66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71"/>
      <c r="T501" s="62"/>
      <c r="U501" s="65"/>
      <c r="V501" s="65"/>
      <c r="W501" s="66"/>
      <c r="X501" s="66"/>
      <c r="Y501" s="66"/>
      <c r="Z501" s="66"/>
      <c r="AA501" s="66"/>
      <c r="AB501" s="66"/>
      <c r="AC501" s="66"/>
      <c r="AD501" s="66"/>
      <c r="AE501" s="66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71"/>
      <c r="T502" s="62"/>
      <c r="U502" s="65"/>
      <c r="V502" s="65"/>
      <c r="W502" s="66"/>
      <c r="X502" s="66"/>
      <c r="Y502" s="66"/>
      <c r="Z502" s="66"/>
      <c r="AA502" s="66"/>
      <c r="AB502" s="66"/>
      <c r="AC502" s="66"/>
      <c r="AD502" s="66"/>
      <c r="AE502" s="66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71"/>
      <c r="T503" s="62"/>
      <c r="U503" s="65"/>
      <c r="V503" s="65"/>
      <c r="W503" s="66"/>
      <c r="X503" s="66"/>
      <c r="Y503" s="66"/>
      <c r="Z503" s="66"/>
      <c r="AA503" s="66"/>
      <c r="AB503" s="66"/>
      <c r="AC503" s="66"/>
      <c r="AD503" s="66"/>
      <c r="AE503" s="66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71"/>
      <c r="T504" s="62"/>
      <c r="U504" s="65"/>
      <c r="V504" s="65"/>
      <c r="W504" s="66"/>
      <c r="X504" s="66"/>
      <c r="Y504" s="66"/>
      <c r="Z504" s="66"/>
      <c r="AA504" s="66"/>
      <c r="AB504" s="66"/>
      <c r="AC504" s="66"/>
      <c r="AD504" s="66"/>
      <c r="AE504" s="66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71"/>
      <c r="T505" s="62"/>
      <c r="U505" s="65"/>
      <c r="V505" s="65"/>
      <c r="W505" s="66"/>
      <c r="X505" s="66"/>
      <c r="Y505" s="66"/>
      <c r="Z505" s="66"/>
      <c r="AA505" s="66"/>
      <c r="AB505" s="66"/>
      <c r="AC505" s="66"/>
      <c r="AD505" s="66"/>
      <c r="AE505" s="66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71"/>
      <c r="T506" s="62"/>
      <c r="U506" s="65"/>
      <c r="V506" s="65"/>
      <c r="W506" s="66"/>
      <c r="X506" s="66"/>
      <c r="Y506" s="66"/>
      <c r="Z506" s="66"/>
      <c r="AA506" s="66"/>
      <c r="AB506" s="66"/>
      <c r="AC506" s="66"/>
      <c r="AD506" s="66"/>
      <c r="AE506" s="66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71"/>
      <c r="T507" s="62"/>
      <c r="U507" s="65"/>
      <c r="V507" s="65"/>
      <c r="W507" s="66"/>
      <c r="X507" s="66"/>
      <c r="Y507" s="66"/>
      <c r="Z507" s="66"/>
      <c r="AA507" s="66"/>
      <c r="AB507" s="66"/>
      <c r="AC507" s="66"/>
      <c r="AD507" s="66"/>
      <c r="AE507" s="66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71"/>
      <c r="T508" s="62"/>
      <c r="U508" s="65"/>
      <c r="V508" s="65"/>
      <c r="W508" s="66"/>
      <c r="X508" s="66"/>
      <c r="Y508" s="66"/>
      <c r="Z508" s="66"/>
      <c r="AA508" s="66"/>
      <c r="AB508" s="66"/>
      <c r="AC508" s="66"/>
      <c r="AD508" s="66"/>
      <c r="AE508" s="66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71"/>
      <c r="T509" s="62"/>
      <c r="U509" s="65"/>
      <c r="V509" s="65"/>
      <c r="W509" s="66"/>
      <c r="X509" s="66"/>
      <c r="Y509" s="66"/>
      <c r="Z509" s="66"/>
      <c r="AA509" s="66"/>
      <c r="AB509" s="66"/>
      <c r="AC509" s="66"/>
      <c r="AD509" s="66"/>
      <c r="AE509" s="66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71"/>
      <c r="T510" s="62"/>
      <c r="U510" s="65"/>
      <c r="V510" s="65"/>
      <c r="W510" s="66"/>
      <c r="X510" s="66"/>
      <c r="Y510" s="66"/>
      <c r="Z510" s="66"/>
      <c r="AA510" s="66"/>
      <c r="AB510" s="66"/>
      <c r="AC510" s="66"/>
      <c r="AD510" s="66"/>
      <c r="AE510" s="66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71"/>
      <c r="T511" s="62"/>
      <c r="U511" s="65"/>
      <c r="V511" s="65"/>
      <c r="W511" s="66"/>
      <c r="X511" s="66"/>
      <c r="Y511" s="66"/>
      <c r="Z511" s="66"/>
      <c r="AA511" s="66"/>
      <c r="AB511" s="66"/>
      <c r="AC511" s="66"/>
      <c r="AD511" s="66"/>
      <c r="AE511" s="66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71"/>
      <c r="T512" s="62"/>
      <c r="U512" s="65"/>
      <c r="V512" s="65"/>
      <c r="W512" s="66"/>
      <c r="X512" s="66"/>
      <c r="Y512" s="66"/>
      <c r="Z512" s="66"/>
      <c r="AA512" s="66"/>
      <c r="AB512" s="66"/>
      <c r="AC512" s="66"/>
      <c r="AD512" s="66"/>
      <c r="AE512" s="66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71"/>
      <c r="T513" s="62"/>
      <c r="U513" s="65"/>
      <c r="V513" s="65"/>
      <c r="W513" s="66"/>
      <c r="X513" s="66"/>
      <c r="Y513" s="66"/>
      <c r="Z513" s="66"/>
      <c r="AA513" s="66"/>
      <c r="AB513" s="66"/>
      <c r="AC513" s="66"/>
      <c r="AD513" s="66"/>
      <c r="AE513" s="66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71"/>
      <c r="T514" s="62"/>
      <c r="U514" s="65"/>
      <c r="V514" s="65"/>
      <c r="W514" s="66"/>
      <c r="X514" s="66"/>
      <c r="Y514" s="66"/>
      <c r="Z514" s="66"/>
      <c r="AA514" s="66"/>
      <c r="AB514" s="66"/>
      <c r="AC514" s="66"/>
      <c r="AD514" s="66"/>
      <c r="AE514" s="66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71"/>
      <c r="T515" s="62"/>
      <c r="U515" s="65"/>
      <c r="V515" s="65"/>
      <c r="W515" s="66"/>
      <c r="X515" s="66"/>
      <c r="Y515" s="66"/>
      <c r="Z515" s="66"/>
      <c r="AA515" s="66"/>
      <c r="AB515" s="66"/>
      <c r="AC515" s="66"/>
      <c r="AD515" s="66"/>
      <c r="AE515" s="66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71"/>
      <c r="T516" s="62"/>
      <c r="U516" s="65"/>
      <c r="V516" s="65"/>
      <c r="W516" s="66"/>
      <c r="X516" s="66"/>
      <c r="Y516" s="66"/>
      <c r="Z516" s="66"/>
      <c r="AA516" s="66"/>
      <c r="AB516" s="66"/>
      <c r="AC516" s="66"/>
      <c r="AD516" s="66"/>
      <c r="AE516" s="66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71"/>
      <c r="T517" s="62"/>
      <c r="U517" s="65"/>
      <c r="V517" s="65"/>
      <c r="W517" s="66"/>
      <c r="X517" s="66"/>
      <c r="Y517" s="66"/>
      <c r="Z517" s="66"/>
      <c r="AA517" s="66"/>
      <c r="AB517" s="66"/>
      <c r="AC517" s="66"/>
      <c r="AD517" s="66"/>
      <c r="AE517" s="66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71"/>
      <c r="T518" s="62"/>
      <c r="U518" s="65"/>
      <c r="V518" s="65"/>
      <c r="W518" s="66"/>
      <c r="X518" s="66"/>
      <c r="Y518" s="66"/>
      <c r="Z518" s="66"/>
      <c r="AA518" s="66"/>
      <c r="AB518" s="66"/>
      <c r="AC518" s="66"/>
      <c r="AD518" s="66"/>
      <c r="AE518" s="66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71"/>
      <c r="T519" s="62"/>
      <c r="U519" s="65"/>
      <c r="V519" s="65"/>
      <c r="W519" s="66"/>
      <c r="X519" s="66"/>
      <c r="Y519" s="66"/>
      <c r="Z519" s="66"/>
      <c r="AA519" s="66"/>
      <c r="AB519" s="66"/>
      <c r="AC519" s="66"/>
      <c r="AD519" s="66"/>
      <c r="AE519" s="66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71"/>
      <c r="T520" s="62"/>
      <c r="U520" s="65"/>
      <c r="V520" s="65"/>
      <c r="W520" s="66"/>
      <c r="X520" s="66"/>
      <c r="Y520" s="66"/>
      <c r="Z520" s="66"/>
      <c r="AA520" s="66"/>
      <c r="AB520" s="66"/>
      <c r="AC520" s="66"/>
      <c r="AD520" s="66"/>
      <c r="AE520" s="66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71"/>
      <c r="T521" s="62"/>
      <c r="U521" s="65"/>
      <c r="V521" s="65"/>
      <c r="W521" s="66"/>
      <c r="X521" s="66"/>
      <c r="Y521" s="66"/>
      <c r="Z521" s="66"/>
      <c r="AA521" s="66"/>
      <c r="AB521" s="66"/>
      <c r="AC521" s="66"/>
      <c r="AD521" s="66"/>
      <c r="AE521" s="66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71"/>
      <c r="T522" s="62"/>
      <c r="U522" s="65"/>
      <c r="V522" s="65"/>
      <c r="W522" s="66"/>
      <c r="X522" s="66"/>
      <c r="Y522" s="66"/>
      <c r="Z522" s="66"/>
      <c r="AA522" s="66"/>
      <c r="AB522" s="66"/>
      <c r="AC522" s="66"/>
      <c r="AD522" s="66"/>
      <c r="AE522" s="66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71"/>
      <c r="T523" s="62"/>
      <c r="U523" s="65"/>
      <c r="V523" s="65"/>
      <c r="W523" s="66"/>
      <c r="X523" s="66"/>
      <c r="Y523" s="66"/>
      <c r="Z523" s="66"/>
      <c r="AA523" s="66"/>
      <c r="AB523" s="66"/>
      <c r="AC523" s="66"/>
      <c r="AD523" s="66"/>
      <c r="AE523" s="66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71"/>
      <c r="T524" s="62"/>
      <c r="U524" s="65"/>
      <c r="V524" s="65"/>
      <c r="W524" s="66"/>
      <c r="X524" s="66"/>
      <c r="Y524" s="66"/>
      <c r="Z524" s="66"/>
      <c r="AA524" s="66"/>
      <c r="AB524" s="66"/>
      <c r="AC524" s="66"/>
      <c r="AD524" s="66"/>
      <c r="AE524" s="66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71"/>
      <c r="T525" s="62"/>
      <c r="U525" s="65"/>
      <c r="V525" s="65"/>
      <c r="W525" s="66"/>
      <c r="X525" s="66"/>
      <c r="Y525" s="66"/>
      <c r="Z525" s="66"/>
      <c r="AA525" s="66"/>
      <c r="AB525" s="66"/>
      <c r="AC525" s="66"/>
      <c r="AD525" s="66"/>
      <c r="AE525" s="66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71"/>
      <c r="T526" s="62"/>
      <c r="U526" s="65"/>
      <c r="V526" s="65"/>
      <c r="W526" s="66"/>
      <c r="X526" s="66"/>
      <c r="Y526" s="66"/>
      <c r="Z526" s="66"/>
      <c r="AA526" s="66"/>
      <c r="AB526" s="66"/>
      <c r="AC526" s="66"/>
      <c r="AD526" s="66"/>
      <c r="AE526" s="66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71"/>
      <c r="T527" s="62"/>
      <c r="U527" s="65"/>
      <c r="V527" s="65"/>
      <c r="W527" s="66"/>
      <c r="X527" s="66"/>
      <c r="Y527" s="66"/>
      <c r="Z527" s="66"/>
      <c r="AA527" s="66"/>
      <c r="AB527" s="66"/>
      <c r="AC527" s="66"/>
      <c r="AD527" s="66"/>
      <c r="AE527" s="66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71"/>
      <c r="T528" s="62"/>
      <c r="U528" s="65"/>
      <c r="V528" s="65"/>
      <c r="W528" s="66"/>
      <c r="X528" s="66"/>
      <c r="Y528" s="66"/>
      <c r="Z528" s="66"/>
      <c r="AA528" s="66"/>
      <c r="AB528" s="66"/>
      <c r="AC528" s="66"/>
      <c r="AD528" s="66"/>
      <c r="AE528" s="66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71"/>
      <c r="T529" s="62"/>
      <c r="U529" s="65"/>
      <c r="V529" s="65"/>
      <c r="W529" s="66"/>
      <c r="X529" s="66"/>
      <c r="Y529" s="66"/>
      <c r="Z529" s="66"/>
      <c r="AA529" s="66"/>
      <c r="AB529" s="66"/>
      <c r="AC529" s="66"/>
      <c r="AD529" s="66"/>
      <c r="AE529" s="66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71"/>
      <c r="T530" s="62"/>
      <c r="U530" s="65"/>
      <c r="V530" s="65"/>
      <c r="W530" s="66"/>
      <c r="X530" s="66"/>
      <c r="Y530" s="66"/>
      <c r="Z530" s="66"/>
      <c r="AA530" s="66"/>
      <c r="AB530" s="66"/>
      <c r="AC530" s="66"/>
      <c r="AD530" s="66"/>
      <c r="AE530" s="66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71"/>
      <c r="T531" s="62"/>
      <c r="U531" s="65"/>
      <c r="V531" s="65"/>
      <c r="W531" s="66"/>
      <c r="X531" s="66"/>
      <c r="Y531" s="66"/>
      <c r="Z531" s="66"/>
      <c r="AA531" s="66"/>
      <c r="AB531" s="66"/>
      <c r="AC531" s="66"/>
      <c r="AD531" s="66"/>
      <c r="AE531" s="66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71"/>
      <c r="T532" s="62"/>
      <c r="U532" s="65"/>
      <c r="V532" s="65"/>
      <c r="W532" s="66"/>
      <c r="X532" s="66"/>
      <c r="Y532" s="66"/>
      <c r="Z532" s="66"/>
      <c r="AA532" s="66"/>
      <c r="AB532" s="66"/>
      <c r="AC532" s="66"/>
      <c r="AD532" s="66"/>
      <c r="AE532" s="66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71"/>
      <c r="T533" s="62"/>
      <c r="U533" s="65"/>
      <c r="V533" s="65"/>
      <c r="W533" s="66"/>
      <c r="X533" s="66"/>
      <c r="Y533" s="66"/>
      <c r="Z533" s="66"/>
      <c r="AA533" s="66"/>
      <c r="AB533" s="66"/>
      <c r="AC533" s="66"/>
      <c r="AD533" s="66"/>
      <c r="AE533" s="66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71"/>
      <c r="T534" s="62"/>
      <c r="U534" s="65"/>
      <c r="V534" s="65"/>
      <c r="W534" s="66"/>
      <c r="X534" s="66"/>
      <c r="Y534" s="66"/>
      <c r="Z534" s="66"/>
      <c r="AA534" s="66"/>
      <c r="AB534" s="66"/>
      <c r="AC534" s="66"/>
      <c r="AD534" s="66"/>
      <c r="AE534" s="66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71"/>
      <c r="T535" s="62"/>
      <c r="U535" s="65"/>
      <c r="V535" s="65"/>
      <c r="W535" s="66"/>
      <c r="X535" s="66"/>
      <c r="Y535" s="66"/>
      <c r="Z535" s="66"/>
      <c r="AA535" s="66"/>
      <c r="AB535" s="66"/>
      <c r="AC535" s="66"/>
      <c r="AD535" s="66"/>
      <c r="AE535" s="66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71"/>
      <c r="T536" s="62"/>
      <c r="U536" s="65"/>
      <c r="V536" s="65"/>
      <c r="W536" s="66"/>
      <c r="X536" s="66"/>
      <c r="Y536" s="66"/>
      <c r="Z536" s="66"/>
      <c r="AA536" s="66"/>
      <c r="AB536" s="66"/>
      <c r="AC536" s="66"/>
      <c r="AD536" s="66"/>
      <c r="AE536" s="66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71"/>
      <c r="T537" s="62"/>
      <c r="U537" s="65"/>
      <c r="V537" s="65"/>
      <c r="W537" s="66"/>
      <c r="X537" s="66"/>
      <c r="Y537" s="66"/>
      <c r="Z537" s="66"/>
      <c r="AA537" s="66"/>
      <c r="AB537" s="66"/>
      <c r="AC537" s="66"/>
      <c r="AD537" s="66"/>
      <c r="AE537" s="66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71"/>
      <c r="T538" s="62"/>
      <c r="U538" s="65"/>
      <c r="V538" s="65"/>
      <c r="W538" s="66"/>
      <c r="X538" s="66"/>
      <c r="Y538" s="66"/>
      <c r="Z538" s="66"/>
      <c r="AA538" s="66"/>
      <c r="AB538" s="66"/>
      <c r="AC538" s="66"/>
      <c r="AD538" s="66"/>
      <c r="AE538" s="66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71"/>
      <c r="T539" s="62"/>
      <c r="U539" s="65"/>
      <c r="V539" s="65"/>
      <c r="W539" s="66"/>
      <c r="X539" s="66"/>
      <c r="Y539" s="66"/>
      <c r="Z539" s="66"/>
      <c r="AA539" s="66"/>
      <c r="AB539" s="66"/>
      <c r="AC539" s="66"/>
      <c r="AD539" s="66"/>
      <c r="AE539" s="66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71"/>
      <c r="T540" s="62"/>
      <c r="U540" s="65"/>
      <c r="V540" s="65"/>
      <c r="W540" s="66"/>
      <c r="X540" s="66"/>
      <c r="Y540" s="66"/>
      <c r="Z540" s="66"/>
      <c r="AA540" s="66"/>
      <c r="AB540" s="66"/>
      <c r="AC540" s="66"/>
      <c r="AD540" s="66"/>
      <c r="AE540" s="66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71"/>
      <c r="T541" s="62"/>
      <c r="U541" s="65"/>
      <c r="V541" s="65"/>
      <c r="W541" s="66"/>
      <c r="X541" s="66"/>
      <c r="Y541" s="66"/>
      <c r="Z541" s="66"/>
      <c r="AA541" s="66"/>
      <c r="AB541" s="66"/>
      <c r="AC541" s="66"/>
      <c r="AD541" s="66"/>
      <c r="AE541" s="66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71"/>
      <c r="T542" s="62"/>
      <c r="U542" s="65"/>
      <c r="V542" s="65"/>
      <c r="W542" s="66"/>
      <c r="X542" s="66"/>
      <c r="Y542" s="66"/>
      <c r="Z542" s="66"/>
      <c r="AA542" s="66"/>
      <c r="AB542" s="66"/>
      <c r="AC542" s="66"/>
      <c r="AD542" s="66"/>
      <c r="AE542" s="66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71"/>
      <c r="T543" s="62"/>
      <c r="U543" s="65"/>
      <c r="V543" s="65"/>
      <c r="W543" s="66"/>
      <c r="X543" s="66"/>
      <c r="Y543" s="66"/>
      <c r="Z543" s="66"/>
      <c r="AA543" s="66"/>
      <c r="AB543" s="66"/>
      <c r="AC543" s="66"/>
      <c r="AD543" s="66"/>
      <c r="AE543" s="66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71"/>
      <c r="T544" s="62"/>
      <c r="U544" s="65"/>
      <c r="V544" s="65"/>
      <c r="W544" s="66"/>
      <c r="X544" s="66"/>
      <c r="Y544" s="66"/>
      <c r="Z544" s="66"/>
      <c r="AA544" s="66"/>
      <c r="AB544" s="66"/>
      <c r="AC544" s="66"/>
      <c r="AD544" s="66"/>
      <c r="AE544" s="66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71"/>
      <c r="T545" s="62"/>
      <c r="U545" s="65"/>
      <c r="V545" s="65"/>
      <c r="W545" s="66"/>
      <c r="X545" s="66"/>
      <c r="Y545" s="66"/>
      <c r="Z545" s="66"/>
      <c r="AA545" s="66"/>
      <c r="AB545" s="66"/>
      <c r="AC545" s="66"/>
      <c r="AD545" s="66"/>
      <c r="AE545" s="66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71"/>
      <c r="T546" s="62"/>
      <c r="U546" s="65"/>
      <c r="V546" s="65"/>
      <c r="W546" s="66"/>
      <c r="X546" s="66"/>
      <c r="Y546" s="66"/>
      <c r="Z546" s="66"/>
      <c r="AA546" s="66"/>
      <c r="AB546" s="66"/>
      <c r="AC546" s="66"/>
      <c r="AD546" s="66"/>
      <c r="AE546" s="66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71"/>
      <c r="T547" s="62"/>
      <c r="U547" s="65"/>
      <c r="V547" s="65"/>
      <c r="W547" s="66"/>
      <c r="X547" s="66"/>
      <c r="Y547" s="66"/>
      <c r="Z547" s="66"/>
      <c r="AA547" s="66"/>
      <c r="AB547" s="66"/>
      <c r="AC547" s="66"/>
      <c r="AD547" s="66"/>
      <c r="AE547" s="66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71"/>
      <c r="T548" s="62"/>
      <c r="U548" s="65"/>
      <c r="V548" s="65"/>
      <c r="W548" s="66"/>
      <c r="X548" s="66"/>
      <c r="Y548" s="66"/>
      <c r="Z548" s="66"/>
      <c r="AA548" s="66"/>
      <c r="AB548" s="66"/>
      <c r="AC548" s="66"/>
      <c r="AD548" s="66"/>
      <c r="AE548" s="66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71"/>
      <c r="T549" s="62"/>
      <c r="U549" s="65"/>
      <c r="V549" s="65"/>
      <c r="W549" s="66"/>
      <c r="X549" s="66"/>
      <c r="Y549" s="66"/>
      <c r="Z549" s="66"/>
      <c r="AA549" s="66"/>
      <c r="AB549" s="66"/>
      <c r="AC549" s="66"/>
      <c r="AD549" s="66"/>
      <c r="AE549" s="66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71"/>
      <c r="T550" s="62"/>
      <c r="U550" s="65"/>
      <c r="V550" s="65"/>
      <c r="W550" s="66"/>
      <c r="X550" s="66"/>
      <c r="Y550" s="66"/>
      <c r="Z550" s="66"/>
      <c r="AA550" s="66"/>
      <c r="AB550" s="66"/>
      <c r="AC550" s="66"/>
      <c r="AD550" s="66"/>
      <c r="AE550" s="66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71"/>
      <c r="T551" s="62"/>
      <c r="U551" s="65"/>
      <c r="V551" s="65"/>
      <c r="W551" s="66"/>
      <c r="X551" s="66"/>
      <c r="Y551" s="66"/>
      <c r="Z551" s="66"/>
      <c r="AA551" s="66"/>
      <c r="AB551" s="66"/>
      <c r="AC551" s="66"/>
      <c r="AD551" s="66"/>
      <c r="AE551" s="66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71"/>
      <c r="T552" s="62"/>
      <c r="U552" s="65"/>
      <c r="V552" s="65"/>
      <c r="W552" s="66"/>
      <c r="X552" s="66"/>
      <c r="Y552" s="66"/>
      <c r="Z552" s="66"/>
      <c r="AA552" s="66"/>
      <c r="AB552" s="66"/>
      <c r="AC552" s="66"/>
      <c r="AD552" s="66"/>
      <c r="AE552" s="66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71"/>
      <c r="T553" s="62"/>
      <c r="U553" s="65"/>
      <c r="V553" s="65"/>
      <c r="W553" s="66"/>
      <c r="X553" s="66"/>
      <c r="Y553" s="66"/>
      <c r="Z553" s="66"/>
      <c r="AA553" s="66"/>
      <c r="AB553" s="66"/>
      <c r="AC553" s="66"/>
      <c r="AD553" s="66"/>
      <c r="AE553" s="66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71"/>
      <c r="T554" s="62"/>
      <c r="U554" s="65"/>
      <c r="V554" s="65"/>
      <c r="W554" s="66"/>
      <c r="X554" s="66"/>
      <c r="Y554" s="66"/>
      <c r="Z554" s="66"/>
      <c r="AA554" s="66"/>
      <c r="AB554" s="66"/>
      <c r="AC554" s="66"/>
      <c r="AD554" s="66"/>
      <c r="AE554" s="66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71"/>
      <c r="T555" s="62"/>
      <c r="U555" s="65"/>
      <c r="V555" s="65"/>
      <c r="W555" s="66"/>
      <c r="X555" s="66"/>
      <c r="Y555" s="66"/>
      <c r="Z555" s="66"/>
      <c r="AA555" s="66"/>
      <c r="AB555" s="66"/>
      <c r="AC555" s="66"/>
      <c r="AD555" s="66"/>
      <c r="AE555" s="66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71"/>
      <c r="T556" s="62"/>
      <c r="U556" s="65"/>
      <c r="V556" s="65"/>
      <c r="W556" s="66"/>
      <c r="X556" s="66"/>
      <c r="Y556" s="66"/>
      <c r="Z556" s="66"/>
      <c r="AA556" s="66"/>
      <c r="AB556" s="66"/>
      <c r="AC556" s="66"/>
      <c r="AD556" s="66"/>
      <c r="AE556" s="66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71"/>
      <c r="T557" s="62"/>
      <c r="U557" s="65"/>
      <c r="V557" s="65"/>
      <c r="W557" s="66"/>
      <c r="X557" s="66"/>
      <c r="Y557" s="66"/>
      <c r="Z557" s="66"/>
      <c r="AA557" s="66"/>
      <c r="AB557" s="66"/>
      <c r="AC557" s="66"/>
      <c r="AD557" s="66"/>
      <c r="AE557" s="66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71"/>
      <c r="T558" s="62"/>
      <c r="U558" s="65"/>
      <c r="V558" s="65"/>
      <c r="W558" s="66"/>
      <c r="X558" s="66"/>
      <c r="Y558" s="66"/>
      <c r="Z558" s="66"/>
      <c r="AA558" s="66"/>
      <c r="AB558" s="66"/>
      <c r="AC558" s="66"/>
      <c r="AD558" s="66"/>
      <c r="AE558" s="66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71"/>
      <c r="T559" s="62"/>
      <c r="U559" s="65"/>
      <c r="V559" s="65"/>
      <c r="W559" s="66"/>
      <c r="X559" s="66"/>
      <c r="Y559" s="66"/>
      <c r="Z559" s="66"/>
      <c r="AA559" s="66"/>
      <c r="AB559" s="66"/>
      <c r="AC559" s="66"/>
      <c r="AD559" s="66"/>
      <c r="AE559" s="66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71"/>
      <c r="T560" s="62"/>
      <c r="U560" s="65"/>
      <c r="V560" s="65"/>
      <c r="W560" s="66"/>
      <c r="X560" s="66"/>
      <c r="Y560" s="66"/>
      <c r="Z560" s="66"/>
      <c r="AA560" s="66"/>
      <c r="AB560" s="66"/>
      <c r="AC560" s="66"/>
      <c r="AD560" s="66"/>
      <c r="AE560" s="66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71"/>
      <c r="T561" s="62"/>
      <c r="U561" s="65"/>
      <c r="V561" s="65"/>
      <c r="W561" s="66"/>
      <c r="X561" s="66"/>
      <c r="Y561" s="66"/>
      <c r="Z561" s="66"/>
      <c r="AA561" s="66"/>
      <c r="AB561" s="66"/>
      <c r="AC561" s="66"/>
      <c r="AD561" s="66"/>
      <c r="AE561" s="66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71"/>
      <c r="T562" s="62"/>
      <c r="U562" s="65"/>
      <c r="V562" s="65"/>
      <c r="W562" s="66"/>
      <c r="X562" s="66"/>
      <c r="Y562" s="66"/>
      <c r="Z562" s="66"/>
      <c r="AA562" s="66"/>
      <c r="AB562" s="66"/>
      <c r="AC562" s="66"/>
      <c r="AD562" s="66"/>
      <c r="AE562" s="66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71"/>
      <c r="T563" s="62"/>
      <c r="U563" s="65"/>
      <c r="V563" s="65"/>
      <c r="W563" s="66"/>
      <c r="X563" s="66"/>
      <c r="Y563" s="66"/>
      <c r="Z563" s="66"/>
      <c r="AA563" s="66"/>
      <c r="AB563" s="66"/>
      <c r="AC563" s="66"/>
      <c r="AD563" s="66"/>
      <c r="AE563" s="66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71"/>
      <c r="T564" s="62"/>
      <c r="U564" s="65"/>
      <c r="V564" s="65"/>
      <c r="W564" s="66"/>
      <c r="X564" s="66"/>
      <c r="Y564" s="66"/>
      <c r="Z564" s="66"/>
      <c r="AA564" s="66"/>
      <c r="AB564" s="66"/>
      <c r="AC564" s="66"/>
      <c r="AD564" s="66"/>
      <c r="AE564" s="66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71"/>
      <c r="T565" s="62"/>
      <c r="U565" s="65"/>
      <c r="V565" s="65"/>
      <c r="W565" s="66"/>
      <c r="X565" s="66"/>
      <c r="Y565" s="66"/>
      <c r="Z565" s="66"/>
      <c r="AA565" s="66"/>
      <c r="AB565" s="66"/>
      <c r="AC565" s="66"/>
      <c r="AD565" s="66"/>
      <c r="AE565" s="66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71"/>
      <c r="T566" s="62"/>
      <c r="U566" s="65"/>
      <c r="V566" s="65"/>
      <c r="W566" s="66"/>
      <c r="X566" s="66"/>
      <c r="Y566" s="66"/>
      <c r="Z566" s="66"/>
      <c r="AA566" s="66"/>
      <c r="AB566" s="66"/>
      <c r="AC566" s="66"/>
      <c r="AD566" s="66"/>
      <c r="AE566" s="66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71"/>
      <c r="T567" s="62"/>
      <c r="U567" s="65"/>
      <c r="V567" s="65"/>
      <c r="W567" s="66"/>
      <c r="X567" s="66"/>
      <c r="Y567" s="66"/>
      <c r="Z567" s="66"/>
      <c r="AA567" s="66"/>
      <c r="AB567" s="66"/>
      <c r="AC567" s="66"/>
      <c r="AD567" s="66"/>
      <c r="AE567" s="66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71"/>
      <c r="T568" s="62"/>
      <c r="U568" s="65"/>
      <c r="V568" s="65"/>
      <c r="W568" s="66"/>
      <c r="X568" s="66"/>
      <c r="Y568" s="66"/>
      <c r="Z568" s="66"/>
      <c r="AA568" s="66"/>
      <c r="AB568" s="66"/>
      <c r="AC568" s="66"/>
      <c r="AD568" s="66"/>
      <c r="AE568" s="66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71"/>
      <c r="T569" s="62"/>
      <c r="U569" s="65"/>
      <c r="V569" s="65"/>
      <c r="W569" s="66"/>
      <c r="X569" s="66"/>
      <c r="Y569" s="66"/>
      <c r="Z569" s="66"/>
      <c r="AA569" s="66"/>
      <c r="AB569" s="66"/>
      <c r="AC569" s="66"/>
      <c r="AD569" s="66"/>
      <c r="AE569" s="66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71"/>
      <c r="T570" s="62"/>
      <c r="U570" s="65"/>
      <c r="V570" s="65"/>
      <c r="W570" s="66"/>
      <c r="X570" s="66"/>
      <c r="Y570" s="66"/>
      <c r="Z570" s="66"/>
      <c r="AA570" s="66"/>
      <c r="AB570" s="66"/>
      <c r="AC570" s="66"/>
      <c r="AD570" s="66"/>
      <c r="AE570" s="66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71"/>
      <c r="T571" s="62"/>
      <c r="U571" s="65"/>
      <c r="V571" s="65"/>
      <c r="W571" s="66"/>
      <c r="X571" s="66"/>
      <c r="Y571" s="66"/>
      <c r="Z571" s="66"/>
      <c r="AA571" s="66"/>
      <c r="AB571" s="66"/>
      <c r="AC571" s="66"/>
      <c r="AD571" s="66"/>
      <c r="AE571" s="66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71"/>
      <c r="T572" s="62"/>
      <c r="U572" s="65"/>
      <c r="V572" s="65"/>
      <c r="W572" s="66"/>
      <c r="X572" s="66"/>
      <c r="Y572" s="66"/>
      <c r="Z572" s="66"/>
      <c r="AA572" s="66"/>
      <c r="AB572" s="66"/>
      <c r="AC572" s="66"/>
      <c r="AD572" s="66"/>
      <c r="AE572" s="66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71"/>
      <c r="T573" s="62"/>
      <c r="U573" s="65"/>
      <c r="V573" s="65"/>
      <c r="W573" s="66"/>
      <c r="X573" s="66"/>
      <c r="Y573" s="66"/>
      <c r="Z573" s="66"/>
      <c r="AA573" s="66"/>
      <c r="AB573" s="66"/>
      <c r="AC573" s="66"/>
      <c r="AD573" s="66"/>
      <c r="AE573" s="66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71"/>
      <c r="T574" s="62"/>
      <c r="U574" s="65"/>
      <c r="V574" s="65"/>
      <c r="W574" s="66"/>
      <c r="X574" s="66"/>
      <c r="Y574" s="66"/>
      <c r="Z574" s="66"/>
      <c r="AA574" s="66"/>
      <c r="AB574" s="66"/>
      <c r="AC574" s="66"/>
      <c r="AD574" s="66"/>
      <c r="AE574" s="66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71"/>
      <c r="T575" s="62"/>
      <c r="U575" s="65"/>
      <c r="V575" s="65"/>
      <c r="W575" s="66"/>
      <c r="X575" s="66"/>
      <c r="Y575" s="66"/>
      <c r="Z575" s="66"/>
      <c r="AA575" s="66"/>
      <c r="AB575" s="66"/>
      <c r="AC575" s="66"/>
      <c r="AD575" s="66"/>
      <c r="AE575" s="66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71"/>
      <c r="T576" s="62"/>
      <c r="U576" s="65"/>
      <c r="V576" s="65"/>
      <c r="W576" s="66"/>
      <c r="X576" s="66"/>
      <c r="Y576" s="66"/>
      <c r="Z576" s="66"/>
      <c r="AA576" s="66"/>
      <c r="AB576" s="66"/>
      <c r="AC576" s="66"/>
      <c r="AD576" s="66"/>
      <c r="AE576" s="66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71"/>
      <c r="T577" s="62"/>
      <c r="U577" s="65"/>
      <c r="V577" s="65"/>
      <c r="W577" s="66"/>
      <c r="X577" s="66"/>
      <c r="Y577" s="66"/>
      <c r="Z577" s="66"/>
      <c r="AA577" s="66"/>
      <c r="AB577" s="66"/>
      <c r="AC577" s="66"/>
      <c r="AD577" s="66"/>
      <c r="AE577" s="66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71"/>
      <c r="T578" s="62"/>
      <c r="U578" s="65"/>
      <c r="V578" s="65"/>
      <c r="W578" s="66"/>
      <c r="X578" s="66"/>
      <c r="Y578" s="66"/>
      <c r="Z578" s="66"/>
      <c r="AA578" s="66"/>
      <c r="AB578" s="66"/>
      <c r="AC578" s="66"/>
      <c r="AD578" s="66"/>
      <c r="AE578" s="66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71"/>
      <c r="T579" s="62"/>
      <c r="U579" s="65"/>
      <c r="V579" s="65"/>
      <c r="W579" s="66"/>
      <c r="X579" s="66"/>
      <c r="Y579" s="66"/>
      <c r="Z579" s="66"/>
      <c r="AA579" s="66"/>
      <c r="AB579" s="66"/>
      <c r="AC579" s="66"/>
      <c r="AD579" s="66"/>
      <c r="AE579" s="66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71"/>
      <c r="T580" s="62"/>
      <c r="U580" s="65"/>
      <c r="V580" s="65"/>
      <c r="W580" s="66"/>
      <c r="X580" s="66"/>
      <c r="Y580" s="66"/>
      <c r="Z580" s="66"/>
      <c r="AA580" s="66"/>
      <c r="AB580" s="66"/>
      <c r="AC580" s="66"/>
      <c r="AD580" s="66"/>
      <c r="AE580" s="66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71"/>
      <c r="T581" s="62"/>
      <c r="U581" s="65"/>
      <c r="V581" s="65"/>
      <c r="W581" s="66"/>
      <c r="X581" s="66"/>
      <c r="Y581" s="66"/>
      <c r="Z581" s="66"/>
      <c r="AA581" s="66"/>
      <c r="AB581" s="66"/>
      <c r="AC581" s="66"/>
      <c r="AD581" s="66"/>
      <c r="AE581" s="66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71"/>
      <c r="T582" s="62"/>
      <c r="U582" s="65"/>
      <c r="V582" s="65"/>
      <c r="W582" s="66"/>
      <c r="X582" s="66"/>
      <c r="Y582" s="66"/>
      <c r="Z582" s="66"/>
      <c r="AA582" s="66"/>
      <c r="AB582" s="66"/>
      <c r="AC582" s="66"/>
      <c r="AD582" s="66"/>
      <c r="AE582" s="66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71"/>
      <c r="T583" s="62"/>
      <c r="U583" s="65"/>
      <c r="V583" s="65"/>
      <c r="W583" s="66"/>
      <c r="X583" s="66"/>
      <c r="Y583" s="66"/>
      <c r="Z583" s="66"/>
      <c r="AA583" s="66"/>
      <c r="AB583" s="66"/>
      <c r="AC583" s="66"/>
      <c r="AD583" s="66"/>
      <c r="AE583" s="66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71"/>
      <c r="T584" s="62"/>
      <c r="U584" s="65"/>
      <c r="V584" s="65"/>
      <c r="W584" s="66"/>
      <c r="X584" s="66"/>
      <c r="Y584" s="66"/>
      <c r="Z584" s="66"/>
      <c r="AA584" s="66"/>
      <c r="AB584" s="66"/>
      <c r="AC584" s="66"/>
      <c r="AD584" s="66"/>
      <c r="AE584" s="66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71"/>
      <c r="T585" s="62"/>
      <c r="U585" s="65"/>
      <c r="V585" s="65"/>
      <c r="W585" s="66"/>
      <c r="X585" s="66"/>
      <c r="Y585" s="66"/>
      <c r="Z585" s="66"/>
      <c r="AA585" s="66"/>
      <c r="AB585" s="66"/>
      <c r="AC585" s="66"/>
      <c r="AD585" s="66"/>
      <c r="AE585" s="66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71"/>
      <c r="T586" s="62"/>
      <c r="U586" s="65"/>
      <c r="V586" s="65"/>
      <c r="W586" s="66"/>
      <c r="X586" s="66"/>
      <c r="Y586" s="66"/>
      <c r="Z586" s="66"/>
      <c r="AA586" s="66"/>
      <c r="AB586" s="66"/>
      <c r="AC586" s="66"/>
      <c r="AD586" s="66"/>
      <c r="AE586" s="66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71"/>
      <c r="T587" s="62"/>
      <c r="U587" s="65"/>
      <c r="V587" s="65"/>
      <c r="W587" s="66"/>
      <c r="X587" s="66"/>
      <c r="Y587" s="66"/>
      <c r="Z587" s="66"/>
      <c r="AA587" s="66"/>
      <c r="AB587" s="66"/>
      <c r="AC587" s="66"/>
      <c r="AD587" s="66"/>
      <c r="AE587" s="66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71"/>
      <c r="T588" s="62"/>
      <c r="U588" s="65"/>
      <c r="V588" s="65"/>
      <c r="W588" s="66"/>
      <c r="X588" s="66"/>
      <c r="Y588" s="66"/>
      <c r="Z588" s="66"/>
      <c r="AA588" s="66"/>
      <c r="AB588" s="66"/>
      <c r="AC588" s="66"/>
      <c r="AD588" s="66"/>
      <c r="AE588" s="66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71"/>
      <c r="T589" s="62"/>
      <c r="U589" s="65"/>
      <c r="V589" s="65"/>
      <c r="W589" s="66"/>
      <c r="X589" s="66"/>
      <c r="Y589" s="66"/>
      <c r="Z589" s="66"/>
      <c r="AA589" s="66"/>
      <c r="AB589" s="66"/>
      <c r="AC589" s="66"/>
      <c r="AD589" s="66"/>
      <c r="AE589" s="66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71"/>
      <c r="T590" s="62"/>
      <c r="U590" s="65"/>
      <c r="V590" s="65"/>
      <c r="W590" s="66"/>
      <c r="X590" s="66"/>
      <c r="Y590" s="66"/>
      <c r="Z590" s="66"/>
      <c r="AA590" s="66"/>
      <c r="AB590" s="66"/>
      <c r="AC590" s="66"/>
      <c r="AD590" s="66"/>
      <c r="AE590" s="66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71"/>
      <c r="T591" s="62"/>
      <c r="U591" s="65"/>
      <c r="V591" s="65"/>
      <c r="W591" s="66"/>
      <c r="X591" s="66"/>
      <c r="Y591" s="66"/>
      <c r="Z591" s="66"/>
      <c r="AA591" s="66"/>
      <c r="AB591" s="66"/>
      <c r="AC591" s="66"/>
      <c r="AD591" s="66"/>
      <c r="AE591" s="66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71"/>
      <c r="T592" s="62"/>
      <c r="U592" s="65"/>
      <c r="V592" s="65"/>
      <c r="W592" s="66"/>
      <c r="X592" s="66"/>
      <c r="Y592" s="66"/>
      <c r="Z592" s="66"/>
      <c r="AA592" s="66"/>
      <c r="AB592" s="66"/>
      <c r="AC592" s="66"/>
      <c r="AD592" s="66"/>
      <c r="AE592" s="66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71"/>
      <c r="T593" s="62"/>
      <c r="U593" s="65"/>
      <c r="V593" s="65"/>
      <c r="W593" s="66"/>
      <c r="X593" s="66"/>
      <c r="Y593" s="66"/>
      <c r="Z593" s="66"/>
      <c r="AA593" s="66"/>
      <c r="AB593" s="66"/>
      <c r="AC593" s="66"/>
      <c r="AD593" s="66"/>
      <c r="AE593" s="66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71"/>
      <c r="T594" s="62"/>
      <c r="U594" s="65"/>
      <c r="V594" s="65"/>
      <c r="W594" s="66"/>
      <c r="X594" s="66"/>
      <c r="Y594" s="66"/>
      <c r="Z594" s="66"/>
      <c r="AA594" s="66"/>
      <c r="AB594" s="66"/>
      <c r="AC594" s="66"/>
      <c r="AD594" s="66"/>
      <c r="AE594" s="66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71"/>
      <c r="T595" s="62"/>
      <c r="U595" s="65"/>
      <c r="V595" s="65"/>
      <c r="W595" s="66"/>
      <c r="X595" s="66"/>
      <c r="Y595" s="66"/>
      <c r="Z595" s="66"/>
      <c r="AA595" s="66"/>
      <c r="AB595" s="66"/>
      <c r="AC595" s="66"/>
      <c r="AD595" s="66"/>
      <c r="AE595" s="66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71"/>
      <c r="T596" s="62"/>
      <c r="U596" s="65"/>
      <c r="V596" s="65"/>
      <c r="W596" s="66"/>
      <c r="X596" s="66"/>
      <c r="Y596" s="66"/>
      <c r="Z596" s="66"/>
      <c r="AA596" s="66"/>
      <c r="AB596" s="66"/>
      <c r="AC596" s="66"/>
      <c r="AD596" s="66"/>
      <c r="AE596" s="66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71"/>
      <c r="T597" s="62"/>
      <c r="U597" s="65"/>
      <c r="V597" s="65"/>
      <c r="W597" s="66"/>
      <c r="X597" s="66"/>
      <c r="Y597" s="66"/>
      <c r="Z597" s="66"/>
      <c r="AA597" s="66"/>
      <c r="AB597" s="66"/>
      <c r="AC597" s="66"/>
      <c r="AD597" s="66"/>
      <c r="AE597" s="66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71"/>
      <c r="T598" s="62"/>
      <c r="U598" s="65"/>
      <c r="V598" s="65"/>
      <c r="W598" s="66"/>
      <c r="X598" s="66"/>
      <c r="Y598" s="66"/>
      <c r="Z598" s="66"/>
      <c r="AA598" s="66"/>
      <c r="AB598" s="66"/>
      <c r="AC598" s="66"/>
      <c r="AD598" s="66"/>
      <c r="AE598" s="66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71"/>
      <c r="T599" s="62"/>
      <c r="U599" s="65"/>
      <c r="V599" s="65"/>
      <c r="W599" s="66"/>
      <c r="X599" s="66"/>
      <c r="Y599" s="66"/>
      <c r="Z599" s="66"/>
      <c r="AA599" s="66"/>
      <c r="AB599" s="66"/>
      <c r="AC599" s="66"/>
      <c r="AD599" s="66"/>
      <c r="AE599" s="66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71"/>
      <c r="T600" s="62"/>
      <c r="U600" s="65"/>
      <c r="V600" s="65"/>
      <c r="W600" s="66"/>
      <c r="X600" s="66"/>
      <c r="Y600" s="66"/>
      <c r="Z600" s="66"/>
      <c r="AA600" s="66"/>
      <c r="AB600" s="66"/>
      <c r="AC600" s="66"/>
      <c r="AD600" s="66"/>
      <c r="AE600" s="66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71"/>
      <c r="T601" s="62"/>
      <c r="U601" s="65"/>
      <c r="V601" s="65"/>
      <c r="W601" s="66"/>
      <c r="X601" s="66"/>
      <c r="Y601" s="66"/>
      <c r="Z601" s="66"/>
      <c r="AA601" s="66"/>
      <c r="AB601" s="66"/>
      <c r="AC601" s="66"/>
      <c r="AD601" s="66"/>
      <c r="AE601" s="66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71"/>
      <c r="T602" s="62"/>
      <c r="U602" s="65"/>
      <c r="V602" s="65"/>
      <c r="W602" s="66"/>
      <c r="X602" s="66"/>
      <c r="Y602" s="66"/>
      <c r="Z602" s="66"/>
      <c r="AA602" s="66"/>
      <c r="AB602" s="66"/>
      <c r="AC602" s="66"/>
      <c r="AD602" s="66"/>
      <c r="AE602" s="66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71"/>
      <c r="T603" s="62"/>
      <c r="U603" s="65"/>
      <c r="V603" s="65"/>
      <c r="W603" s="66"/>
      <c r="X603" s="66"/>
      <c r="Y603" s="66"/>
      <c r="Z603" s="66"/>
      <c r="AA603" s="66"/>
      <c r="AB603" s="66"/>
      <c r="AC603" s="66"/>
      <c r="AD603" s="66"/>
      <c r="AE603" s="66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71"/>
      <c r="T604" s="62"/>
      <c r="U604" s="65"/>
      <c r="V604" s="65"/>
      <c r="W604" s="66"/>
      <c r="X604" s="66"/>
      <c r="Y604" s="66"/>
      <c r="Z604" s="66"/>
      <c r="AA604" s="66"/>
      <c r="AB604" s="66"/>
      <c r="AC604" s="66"/>
      <c r="AD604" s="66"/>
      <c r="AE604" s="66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71"/>
      <c r="T605" s="62"/>
      <c r="U605" s="65"/>
      <c r="V605" s="65"/>
      <c r="W605" s="66"/>
      <c r="X605" s="66"/>
      <c r="Y605" s="66"/>
      <c r="Z605" s="66"/>
      <c r="AA605" s="66"/>
      <c r="AB605" s="66"/>
      <c r="AC605" s="66"/>
      <c r="AD605" s="66"/>
      <c r="AE605" s="66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71"/>
      <c r="T606" s="62"/>
      <c r="U606" s="65"/>
      <c r="V606" s="65"/>
      <c r="W606" s="66"/>
      <c r="X606" s="66"/>
      <c r="Y606" s="66"/>
      <c r="Z606" s="66"/>
      <c r="AA606" s="66"/>
      <c r="AB606" s="66"/>
      <c r="AC606" s="66"/>
      <c r="AD606" s="66"/>
      <c r="AE606" s="66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71"/>
      <c r="T607" s="62"/>
      <c r="U607" s="65"/>
      <c r="V607" s="65"/>
      <c r="W607" s="66"/>
      <c r="X607" s="66"/>
      <c r="Y607" s="66"/>
      <c r="Z607" s="66"/>
      <c r="AA607" s="66"/>
      <c r="AB607" s="66"/>
      <c r="AC607" s="66"/>
      <c r="AD607" s="66"/>
      <c r="AE607" s="66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71"/>
      <c r="T608" s="62"/>
      <c r="U608" s="65"/>
      <c r="V608" s="65"/>
      <c r="W608" s="66"/>
      <c r="X608" s="66"/>
      <c r="Y608" s="66"/>
      <c r="Z608" s="66"/>
      <c r="AA608" s="66"/>
      <c r="AB608" s="66"/>
      <c r="AC608" s="66"/>
      <c r="AD608" s="66"/>
      <c r="AE608" s="66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71"/>
      <c r="T609" s="62"/>
      <c r="U609" s="65"/>
      <c r="V609" s="65"/>
      <c r="W609" s="66"/>
      <c r="X609" s="66"/>
      <c r="Y609" s="66"/>
      <c r="Z609" s="66"/>
      <c r="AA609" s="66"/>
      <c r="AB609" s="66"/>
      <c r="AC609" s="66"/>
      <c r="AD609" s="66"/>
      <c r="AE609" s="66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71"/>
      <c r="T610" s="62"/>
      <c r="U610" s="65"/>
      <c r="V610" s="65"/>
      <c r="W610" s="66"/>
      <c r="X610" s="66"/>
      <c r="Y610" s="66"/>
      <c r="Z610" s="66"/>
      <c r="AA610" s="66"/>
      <c r="AB610" s="66"/>
      <c r="AC610" s="66"/>
      <c r="AD610" s="66"/>
      <c r="AE610" s="66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71"/>
      <c r="T611" s="62"/>
      <c r="U611" s="65"/>
      <c r="V611" s="65"/>
      <c r="W611" s="66"/>
      <c r="X611" s="66"/>
      <c r="Y611" s="66"/>
      <c r="Z611" s="66"/>
      <c r="AA611" s="66"/>
      <c r="AB611" s="66"/>
      <c r="AC611" s="66"/>
      <c r="AD611" s="66"/>
      <c r="AE611" s="66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71"/>
      <c r="T612" s="62"/>
      <c r="U612" s="65"/>
      <c r="V612" s="65"/>
      <c r="W612" s="66"/>
      <c r="X612" s="66"/>
      <c r="Y612" s="66"/>
      <c r="Z612" s="66"/>
      <c r="AA612" s="66"/>
      <c r="AB612" s="66"/>
      <c r="AC612" s="66"/>
      <c r="AD612" s="66"/>
      <c r="AE612" s="66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71"/>
      <c r="T613" s="62"/>
      <c r="U613" s="65"/>
      <c r="V613" s="65"/>
      <c r="W613" s="66"/>
      <c r="X613" s="66"/>
      <c r="Y613" s="66"/>
      <c r="Z613" s="66"/>
      <c r="AA613" s="66"/>
      <c r="AB613" s="66"/>
      <c r="AC613" s="66"/>
      <c r="AD613" s="66"/>
      <c r="AE613" s="66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71"/>
      <c r="T614" s="62"/>
      <c r="U614" s="65"/>
      <c r="V614" s="65"/>
      <c r="W614" s="66"/>
      <c r="X614" s="66"/>
      <c r="Y614" s="66"/>
      <c r="Z614" s="66"/>
      <c r="AA614" s="66"/>
      <c r="AB614" s="66"/>
      <c r="AC614" s="66"/>
      <c r="AD614" s="66"/>
      <c r="AE614" s="66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71"/>
      <c r="T615" s="62"/>
      <c r="U615" s="65"/>
      <c r="V615" s="65"/>
      <c r="W615" s="66"/>
      <c r="X615" s="66"/>
      <c r="Y615" s="66"/>
      <c r="Z615" s="66"/>
      <c r="AA615" s="66"/>
      <c r="AB615" s="66"/>
      <c r="AC615" s="66"/>
      <c r="AD615" s="66"/>
      <c r="AE615" s="66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71"/>
      <c r="T616" s="62"/>
      <c r="U616" s="65"/>
      <c r="V616" s="65"/>
      <c r="W616" s="66"/>
      <c r="X616" s="66"/>
      <c r="Y616" s="66"/>
      <c r="Z616" s="66"/>
      <c r="AA616" s="66"/>
      <c r="AB616" s="66"/>
      <c r="AC616" s="66"/>
      <c r="AD616" s="66"/>
      <c r="AE616" s="66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71"/>
      <c r="T617" s="62"/>
      <c r="U617" s="65"/>
      <c r="V617" s="65"/>
      <c r="W617" s="66"/>
      <c r="X617" s="66"/>
      <c r="Y617" s="66"/>
      <c r="Z617" s="66"/>
      <c r="AA617" s="66"/>
      <c r="AB617" s="66"/>
      <c r="AC617" s="66"/>
      <c r="AD617" s="66"/>
      <c r="AE617" s="66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71"/>
      <c r="T618" s="62"/>
      <c r="U618" s="65"/>
      <c r="V618" s="65"/>
      <c r="W618" s="66"/>
      <c r="X618" s="66"/>
      <c r="Y618" s="66"/>
      <c r="Z618" s="66"/>
      <c r="AA618" s="66"/>
      <c r="AB618" s="66"/>
      <c r="AC618" s="66"/>
      <c r="AD618" s="66"/>
      <c r="AE618" s="66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71"/>
      <c r="T619" s="62"/>
      <c r="U619" s="65"/>
      <c r="V619" s="65"/>
      <c r="W619" s="66"/>
      <c r="X619" s="66"/>
      <c r="Y619" s="66"/>
      <c r="Z619" s="66"/>
      <c r="AA619" s="66"/>
      <c r="AB619" s="66"/>
      <c r="AC619" s="66"/>
      <c r="AD619" s="66"/>
      <c r="AE619" s="66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71"/>
      <c r="T620" s="62"/>
      <c r="U620" s="65"/>
      <c r="V620" s="65"/>
      <c r="W620" s="66"/>
      <c r="X620" s="66"/>
      <c r="Y620" s="66"/>
      <c r="Z620" s="66"/>
      <c r="AA620" s="66"/>
      <c r="AB620" s="66"/>
      <c r="AC620" s="66"/>
      <c r="AD620" s="66"/>
      <c r="AE620" s="66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71"/>
      <c r="T621" s="62"/>
      <c r="U621" s="65"/>
      <c r="V621" s="65"/>
      <c r="W621" s="66"/>
      <c r="X621" s="66"/>
      <c r="Y621" s="66"/>
      <c r="Z621" s="66"/>
      <c r="AA621" s="66"/>
      <c r="AB621" s="66"/>
      <c r="AC621" s="66"/>
      <c r="AD621" s="66"/>
      <c r="AE621" s="66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71"/>
      <c r="T622" s="62"/>
      <c r="U622" s="65"/>
      <c r="V622" s="65"/>
      <c r="W622" s="66"/>
      <c r="X622" s="66"/>
      <c r="Y622" s="66"/>
      <c r="Z622" s="66"/>
      <c r="AA622" s="66"/>
      <c r="AB622" s="66"/>
      <c r="AC622" s="66"/>
      <c r="AD622" s="66"/>
      <c r="AE622" s="66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71"/>
      <c r="T623" s="62"/>
      <c r="U623" s="65"/>
      <c r="V623" s="65"/>
      <c r="W623" s="66"/>
      <c r="X623" s="66"/>
      <c r="Y623" s="66"/>
      <c r="Z623" s="66"/>
      <c r="AA623" s="66"/>
      <c r="AB623" s="66"/>
      <c r="AC623" s="66"/>
      <c r="AD623" s="66"/>
      <c r="AE623" s="66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71"/>
      <c r="T624" s="62"/>
      <c r="U624" s="65"/>
      <c r="V624" s="65"/>
      <c r="W624" s="66"/>
      <c r="X624" s="66"/>
      <c r="Y624" s="66"/>
      <c r="Z624" s="66"/>
      <c r="AA624" s="66"/>
      <c r="AB624" s="66"/>
      <c r="AC624" s="66"/>
      <c r="AD624" s="66"/>
      <c r="AE624" s="66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71"/>
      <c r="T625" s="62"/>
      <c r="U625" s="65"/>
      <c r="V625" s="65"/>
      <c r="W625" s="66"/>
      <c r="X625" s="66"/>
      <c r="Y625" s="66"/>
      <c r="Z625" s="66"/>
      <c r="AA625" s="66"/>
      <c r="AB625" s="66"/>
      <c r="AC625" s="66"/>
      <c r="AD625" s="66"/>
      <c r="AE625" s="66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71"/>
      <c r="T626" s="62"/>
      <c r="U626" s="65"/>
      <c r="V626" s="65"/>
      <c r="W626" s="66"/>
      <c r="X626" s="66"/>
      <c r="Y626" s="66"/>
      <c r="Z626" s="66"/>
      <c r="AA626" s="66"/>
      <c r="AB626" s="66"/>
      <c r="AC626" s="66"/>
      <c r="AD626" s="66"/>
      <c r="AE626" s="66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71"/>
      <c r="T627" s="62"/>
      <c r="U627" s="65"/>
      <c r="V627" s="65"/>
      <c r="W627" s="66"/>
      <c r="X627" s="66"/>
      <c r="Y627" s="66"/>
      <c r="Z627" s="66"/>
      <c r="AA627" s="66"/>
      <c r="AB627" s="66"/>
      <c r="AC627" s="66"/>
      <c r="AD627" s="66"/>
      <c r="AE627" s="66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71"/>
      <c r="T628" s="62"/>
      <c r="U628" s="65"/>
      <c r="V628" s="65"/>
      <c r="W628" s="66"/>
      <c r="X628" s="66"/>
      <c r="Y628" s="66"/>
      <c r="Z628" s="66"/>
      <c r="AA628" s="66"/>
      <c r="AB628" s="66"/>
      <c r="AC628" s="66"/>
      <c r="AD628" s="66"/>
      <c r="AE628" s="66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71"/>
      <c r="T629" s="62"/>
      <c r="U629" s="65"/>
      <c r="V629" s="65"/>
      <c r="W629" s="66"/>
      <c r="X629" s="66"/>
      <c r="Y629" s="66"/>
      <c r="Z629" s="66"/>
      <c r="AA629" s="66"/>
      <c r="AB629" s="66"/>
      <c r="AC629" s="66"/>
      <c r="AD629" s="66"/>
      <c r="AE629" s="66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71"/>
      <c r="T630" s="62"/>
      <c r="U630" s="65"/>
      <c r="V630" s="65"/>
      <c r="W630" s="66"/>
      <c r="X630" s="66"/>
      <c r="Y630" s="66"/>
      <c r="Z630" s="66"/>
      <c r="AA630" s="66"/>
      <c r="AB630" s="66"/>
      <c r="AC630" s="66"/>
      <c r="AD630" s="66"/>
      <c r="AE630" s="66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71"/>
      <c r="T631" s="62"/>
      <c r="U631" s="65"/>
      <c r="V631" s="65"/>
      <c r="W631" s="66"/>
      <c r="X631" s="66"/>
      <c r="Y631" s="66"/>
      <c r="Z631" s="66"/>
      <c r="AA631" s="66"/>
      <c r="AB631" s="66"/>
      <c r="AC631" s="66"/>
      <c r="AD631" s="66"/>
      <c r="AE631" s="66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71"/>
      <c r="T632" s="62"/>
      <c r="U632" s="65"/>
      <c r="V632" s="65"/>
      <c r="W632" s="66"/>
      <c r="X632" s="66"/>
      <c r="Y632" s="66"/>
      <c r="Z632" s="66"/>
      <c r="AA632" s="66"/>
      <c r="AB632" s="66"/>
      <c r="AC632" s="66"/>
      <c r="AD632" s="66"/>
      <c r="AE632" s="66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71"/>
      <c r="T633" s="62"/>
      <c r="U633" s="65"/>
      <c r="V633" s="65"/>
      <c r="W633" s="66"/>
      <c r="X633" s="66"/>
      <c r="Y633" s="66"/>
      <c r="Z633" s="66"/>
      <c r="AA633" s="66"/>
      <c r="AB633" s="66"/>
      <c r="AC633" s="66"/>
      <c r="AD633" s="66"/>
      <c r="AE633" s="66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71"/>
      <c r="T634" s="62"/>
      <c r="U634" s="65"/>
      <c r="V634" s="65"/>
      <c r="W634" s="66"/>
      <c r="X634" s="66"/>
      <c r="Y634" s="66"/>
      <c r="Z634" s="66"/>
      <c r="AA634" s="66"/>
      <c r="AB634" s="66"/>
      <c r="AC634" s="66"/>
      <c r="AD634" s="66"/>
      <c r="AE634" s="66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71"/>
      <c r="T635" s="62"/>
      <c r="U635" s="65"/>
      <c r="V635" s="65"/>
      <c r="W635" s="66"/>
      <c r="X635" s="66"/>
      <c r="Y635" s="66"/>
      <c r="Z635" s="66"/>
      <c r="AA635" s="66"/>
      <c r="AB635" s="66"/>
      <c r="AC635" s="66"/>
      <c r="AD635" s="66"/>
      <c r="AE635" s="66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71"/>
      <c r="T636" s="62"/>
      <c r="U636" s="65"/>
      <c r="V636" s="65"/>
      <c r="W636" s="66"/>
      <c r="X636" s="66"/>
      <c r="Y636" s="66"/>
      <c r="Z636" s="66"/>
      <c r="AA636" s="66"/>
      <c r="AB636" s="66"/>
      <c r="AC636" s="66"/>
      <c r="AD636" s="66"/>
      <c r="AE636" s="66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71"/>
      <c r="T637" s="62"/>
      <c r="U637" s="65"/>
      <c r="V637" s="65"/>
      <c r="W637" s="66"/>
      <c r="X637" s="66"/>
      <c r="Y637" s="66"/>
      <c r="Z637" s="66"/>
      <c r="AA637" s="66"/>
      <c r="AB637" s="66"/>
      <c r="AC637" s="66"/>
      <c r="AD637" s="66"/>
      <c r="AE637" s="66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71"/>
      <c r="T638" s="62"/>
      <c r="U638" s="65"/>
      <c r="V638" s="65"/>
      <c r="W638" s="66"/>
      <c r="X638" s="66"/>
      <c r="Y638" s="66"/>
      <c r="Z638" s="66"/>
      <c r="AA638" s="66"/>
      <c r="AB638" s="66"/>
      <c r="AC638" s="66"/>
      <c r="AD638" s="66"/>
      <c r="AE638" s="66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71"/>
      <c r="T639" s="62"/>
      <c r="U639" s="65"/>
      <c r="V639" s="65"/>
      <c r="W639" s="66"/>
      <c r="X639" s="66"/>
      <c r="Y639" s="66"/>
      <c r="Z639" s="66"/>
      <c r="AA639" s="66"/>
      <c r="AB639" s="66"/>
      <c r="AC639" s="66"/>
      <c r="AD639" s="66"/>
      <c r="AE639" s="66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71"/>
      <c r="T640" s="62"/>
      <c r="U640" s="65"/>
      <c r="V640" s="65"/>
      <c r="W640" s="66"/>
      <c r="X640" s="66"/>
      <c r="Y640" s="66"/>
      <c r="Z640" s="66"/>
      <c r="AA640" s="66"/>
      <c r="AB640" s="66"/>
      <c r="AC640" s="66"/>
      <c r="AD640" s="66"/>
      <c r="AE640" s="66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71"/>
      <c r="T641" s="62"/>
      <c r="U641" s="65"/>
      <c r="V641" s="65"/>
      <c r="W641" s="66"/>
      <c r="X641" s="66"/>
      <c r="Y641" s="66"/>
      <c r="Z641" s="66"/>
      <c r="AA641" s="66"/>
      <c r="AB641" s="66"/>
      <c r="AC641" s="66"/>
      <c r="AD641" s="66"/>
      <c r="AE641" s="66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71"/>
      <c r="T642" s="62"/>
      <c r="U642" s="65"/>
      <c r="V642" s="65"/>
      <c r="W642" s="66"/>
      <c r="X642" s="66"/>
      <c r="Y642" s="66"/>
      <c r="Z642" s="66"/>
      <c r="AA642" s="66"/>
      <c r="AB642" s="66"/>
      <c r="AC642" s="66"/>
      <c r="AD642" s="66"/>
      <c r="AE642" s="66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71"/>
      <c r="T643" s="62"/>
      <c r="U643" s="65"/>
      <c r="V643" s="65"/>
      <c r="W643" s="66"/>
      <c r="X643" s="66"/>
      <c r="Y643" s="66"/>
      <c r="Z643" s="66"/>
      <c r="AA643" s="66"/>
      <c r="AB643" s="66"/>
      <c r="AC643" s="66"/>
      <c r="AD643" s="66"/>
      <c r="AE643" s="66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71"/>
      <c r="T644" s="62"/>
      <c r="U644" s="65"/>
      <c r="V644" s="65"/>
      <c r="W644" s="66"/>
      <c r="X644" s="66"/>
      <c r="Y644" s="66"/>
      <c r="Z644" s="66"/>
      <c r="AA644" s="66"/>
      <c r="AB644" s="66"/>
      <c r="AC644" s="66"/>
      <c r="AD644" s="66"/>
      <c r="AE644" s="66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71"/>
      <c r="T645" s="62"/>
      <c r="U645" s="65"/>
      <c r="V645" s="65"/>
      <c r="W645" s="66"/>
      <c r="X645" s="66"/>
      <c r="Y645" s="66"/>
      <c r="Z645" s="66"/>
      <c r="AA645" s="66"/>
      <c r="AB645" s="66"/>
      <c r="AC645" s="66"/>
      <c r="AD645" s="66"/>
      <c r="AE645" s="66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71"/>
      <c r="T646" s="62"/>
      <c r="U646" s="65"/>
      <c r="V646" s="65"/>
      <c r="W646" s="66"/>
      <c r="X646" s="66"/>
      <c r="Y646" s="66"/>
      <c r="Z646" s="66"/>
      <c r="AA646" s="66"/>
      <c r="AB646" s="66"/>
      <c r="AC646" s="66"/>
      <c r="AD646" s="66"/>
      <c r="AE646" s="66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71"/>
      <c r="T647" s="62"/>
      <c r="U647" s="65"/>
      <c r="V647" s="65"/>
      <c r="W647" s="66"/>
      <c r="X647" s="66"/>
      <c r="Y647" s="66"/>
      <c r="Z647" s="66"/>
      <c r="AA647" s="66"/>
      <c r="AB647" s="66"/>
      <c r="AC647" s="66"/>
      <c r="AD647" s="66"/>
      <c r="AE647" s="66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71"/>
      <c r="T648" s="62"/>
      <c r="U648" s="65"/>
      <c r="V648" s="65"/>
      <c r="W648" s="66"/>
      <c r="X648" s="66"/>
      <c r="Y648" s="66"/>
      <c r="Z648" s="66"/>
      <c r="AA648" s="66"/>
      <c r="AB648" s="66"/>
      <c r="AC648" s="66"/>
      <c r="AD648" s="66"/>
      <c r="AE648" s="66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71"/>
      <c r="T649" s="62"/>
      <c r="U649" s="65"/>
      <c r="V649" s="65"/>
      <c r="W649" s="66"/>
      <c r="X649" s="66"/>
      <c r="Y649" s="66"/>
      <c r="Z649" s="66"/>
      <c r="AA649" s="66"/>
      <c r="AB649" s="66"/>
      <c r="AC649" s="66"/>
      <c r="AD649" s="66"/>
      <c r="AE649" s="66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71"/>
      <c r="T650" s="62"/>
      <c r="U650" s="65"/>
      <c r="V650" s="65"/>
      <c r="W650" s="66"/>
      <c r="X650" s="66"/>
      <c r="Y650" s="66"/>
      <c r="Z650" s="66"/>
      <c r="AA650" s="66"/>
      <c r="AB650" s="66"/>
      <c r="AC650" s="66"/>
      <c r="AD650" s="66"/>
      <c r="AE650" s="66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71"/>
      <c r="T651" s="62"/>
      <c r="U651" s="65"/>
      <c r="V651" s="65"/>
      <c r="W651" s="66"/>
      <c r="X651" s="66"/>
      <c r="Y651" s="66"/>
      <c r="Z651" s="66"/>
      <c r="AA651" s="66"/>
      <c r="AB651" s="66"/>
      <c r="AC651" s="66"/>
      <c r="AD651" s="66"/>
      <c r="AE651" s="66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71"/>
      <c r="T652" s="62"/>
      <c r="U652" s="65"/>
      <c r="V652" s="65"/>
      <c r="W652" s="66"/>
      <c r="X652" s="66"/>
      <c r="Y652" s="66"/>
      <c r="Z652" s="66"/>
      <c r="AA652" s="66"/>
      <c r="AB652" s="66"/>
      <c r="AC652" s="66"/>
      <c r="AD652" s="66"/>
      <c r="AE652" s="66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71"/>
      <c r="T653" s="62"/>
      <c r="U653" s="65"/>
      <c r="V653" s="65"/>
      <c r="W653" s="66"/>
      <c r="X653" s="66"/>
      <c r="Y653" s="66"/>
      <c r="Z653" s="66"/>
      <c r="AA653" s="66"/>
      <c r="AB653" s="66"/>
      <c r="AC653" s="66"/>
      <c r="AD653" s="66"/>
      <c r="AE653" s="66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71"/>
      <c r="T654" s="62"/>
      <c r="U654" s="65"/>
      <c r="V654" s="65"/>
      <c r="W654" s="66"/>
      <c r="X654" s="66"/>
      <c r="Y654" s="66"/>
      <c r="Z654" s="66"/>
      <c r="AA654" s="66"/>
      <c r="AB654" s="66"/>
      <c r="AC654" s="66"/>
      <c r="AD654" s="66"/>
      <c r="AE654" s="66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71"/>
      <c r="T655" s="62"/>
      <c r="U655" s="65"/>
      <c r="V655" s="65"/>
      <c r="W655" s="66"/>
      <c r="X655" s="66"/>
      <c r="Y655" s="66"/>
      <c r="Z655" s="66"/>
      <c r="AA655" s="66"/>
      <c r="AB655" s="66"/>
      <c r="AC655" s="66"/>
      <c r="AD655" s="66"/>
      <c r="AE655" s="66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71"/>
      <c r="T656" s="62"/>
      <c r="U656" s="65"/>
      <c r="V656" s="65"/>
      <c r="W656" s="66"/>
      <c r="X656" s="66"/>
      <c r="Y656" s="66"/>
      <c r="Z656" s="66"/>
      <c r="AA656" s="66"/>
      <c r="AB656" s="66"/>
      <c r="AC656" s="66"/>
      <c r="AD656" s="66"/>
      <c r="AE656" s="66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71"/>
      <c r="T657" s="62"/>
      <c r="U657" s="65"/>
      <c r="V657" s="65"/>
      <c r="W657" s="66"/>
      <c r="X657" s="66"/>
      <c r="Y657" s="66"/>
      <c r="Z657" s="66"/>
      <c r="AA657" s="66"/>
      <c r="AB657" s="66"/>
      <c r="AC657" s="66"/>
      <c r="AD657" s="66"/>
      <c r="AE657" s="66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71"/>
      <c r="T658" s="62"/>
      <c r="U658" s="65"/>
      <c r="V658" s="65"/>
      <c r="W658" s="66"/>
      <c r="X658" s="66"/>
      <c r="Y658" s="66"/>
      <c r="Z658" s="66"/>
      <c r="AA658" s="66"/>
      <c r="AB658" s="66"/>
      <c r="AC658" s="66"/>
      <c r="AD658" s="66"/>
      <c r="AE658" s="66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71"/>
      <c r="T659" s="62"/>
      <c r="U659" s="65"/>
      <c r="V659" s="65"/>
      <c r="W659" s="66"/>
      <c r="X659" s="66"/>
      <c r="Y659" s="66"/>
      <c r="Z659" s="66"/>
      <c r="AA659" s="66"/>
      <c r="AB659" s="66"/>
      <c r="AC659" s="66"/>
      <c r="AD659" s="66"/>
      <c r="AE659" s="66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71"/>
      <c r="T660" s="62"/>
      <c r="U660" s="65"/>
      <c r="V660" s="65"/>
      <c r="W660" s="66"/>
      <c r="X660" s="66"/>
      <c r="Y660" s="66"/>
      <c r="Z660" s="66"/>
      <c r="AA660" s="66"/>
      <c r="AB660" s="66"/>
      <c r="AC660" s="66"/>
      <c r="AD660" s="66"/>
      <c r="AE660" s="66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71"/>
      <c r="T661" s="62"/>
      <c r="U661" s="65"/>
      <c r="V661" s="65"/>
      <c r="W661" s="66"/>
      <c r="X661" s="66"/>
      <c r="Y661" s="66"/>
      <c r="Z661" s="66"/>
      <c r="AA661" s="66"/>
      <c r="AB661" s="66"/>
      <c r="AC661" s="66"/>
      <c r="AD661" s="66"/>
      <c r="AE661" s="66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71"/>
      <c r="T662" s="62"/>
      <c r="U662" s="65"/>
      <c r="V662" s="65"/>
      <c r="W662" s="66"/>
      <c r="X662" s="66"/>
      <c r="Y662" s="66"/>
      <c r="Z662" s="66"/>
      <c r="AA662" s="66"/>
      <c r="AB662" s="66"/>
      <c r="AC662" s="66"/>
      <c r="AD662" s="66"/>
      <c r="AE662" s="66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71"/>
      <c r="T663" s="62"/>
      <c r="U663" s="65"/>
      <c r="V663" s="65"/>
      <c r="W663" s="66"/>
      <c r="X663" s="66"/>
      <c r="Y663" s="66"/>
      <c r="Z663" s="66"/>
      <c r="AA663" s="66"/>
      <c r="AB663" s="66"/>
      <c r="AC663" s="66"/>
      <c r="AD663" s="66"/>
      <c r="AE663" s="66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71"/>
      <c r="T664" s="62"/>
      <c r="U664" s="65"/>
      <c r="V664" s="65"/>
      <c r="W664" s="66"/>
      <c r="X664" s="66"/>
      <c r="Y664" s="66"/>
      <c r="Z664" s="66"/>
      <c r="AA664" s="66"/>
      <c r="AB664" s="66"/>
      <c r="AC664" s="66"/>
      <c r="AD664" s="66"/>
      <c r="AE664" s="66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71"/>
      <c r="T665" s="62"/>
      <c r="U665" s="65"/>
      <c r="V665" s="65"/>
      <c r="W665" s="66"/>
      <c r="X665" s="66"/>
      <c r="Y665" s="66"/>
      <c r="Z665" s="66"/>
      <c r="AA665" s="66"/>
      <c r="AB665" s="66"/>
      <c r="AC665" s="66"/>
      <c r="AD665" s="66"/>
      <c r="AE665" s="66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71"/>
      <c r="T666" s="62"/>
      <c r="U666" s="65"/>
      <c r="V666" s="65"/>
      <c r="W666" s="66"/>
      <c r="X666" s="66"/>
      <c r="Y666" s="66"/>
      <c r="Z666" s="66"/>
      <c r="AA666" s="66"/>
      <c r="AB666" s="66"/>
      <c r="AC666" s="66"/>
      <c r="AD666" s="66"/>
      <c r="AE666" s="66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71"/>
      <c r="T667" s="62"/>
      <c r="U667" s="65"/>
      <c r="V667" s="65"/>
      <c r="W667" s="66"/>
      <c r="X667" s="66"/>
      <c r="Y667" s="66"/>
      <c r="Z667" s="66"/>
      <c r="AA667" s="66"/>
      <c r="AB667" s="66"/>
      <c r="AC667" s="66"/>
      <c r="AD667" s="66"/>
      <c r="AE667" s="66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71"/>
      <c r="T668" s="62"/>
      <c r="U668" s="65"/>
      <c r="V668" s="65"/>
      <c r="W668" s="66"/>
      <c r="X668" s="66"/>
      <c r="Y668" s="66"/>
      <c r="Z668" s="66"/>
      <c r="AA668" s="66"/>
      <c r="AB668" s="66"/>
      <c r="AC668" s="66"/>
      <c r="AD668" s="66"/>
      <c r="AE668" s="66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71"/>
      <c r="T669" s="62"/>
      <c r="U669" s="65"/>
      <c r="V669" s="65"/>
      <c r="W669" s="66"/>
      <c r="X669" s="66"/>
      <c r="Y669" s="66"/>
      <c r="Z669" s="66"/>
      <c r="AA669" s="66"/>
      <c r="AB669" s="66"/>
      <c r="AC669" s="66"/>
      <c r="AD669" s="66"/>
      <c r="AE669" s="66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71"/>
      <c r="T670" s="62"/>
      <c r="U670" s="65"/>
      <c r="V670" s="65"/>
      <c r="W670" s="66"/>
      <c r="X670" s="66"/>
      <c r="Y670" s="66"/>
      <c r="Z670" s="66"/>
      <c r="AA670" s="66"/>
      <c r="AB670" s="66"/>
      <c r="AC670" s="66"/>
      <c r="AD670" s="66"/>
      <c r="AE670" s="66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71"/>
      <c r="T671" s="62"/>
      <c r="U671" s="65"/>
      <c r="V671" s="65"/>
      <c r="W671" s="66"/>
      <c r="X671" s="66"/>
      <c r="Y671" s="66"/>
      <c r="Z671" s="66"/>
      <c r="AA671" s="66"/>
      <c r="AB671" s="66"/>
      <c r="AC671" s="66"/>
      <c r="AD671" s="66"/>
      <c r="AE671" s="66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71"/>
      <c r="T672" s="62"/>
      <c r="U672" s="65"/>
      <c r="V672" s="65"/>
      <c r="W672" s="66"/>
      <c r="X672" s="66"/>
      <c r="Y672" s="66"/>
      <c r="Z672" s="66"/>
      <c r="AA672" s="66"/>
      <c r="AB672" s="66"/>
      <c r="AC672" s="66"/>
      <c r="AD672" s="66"/>
      <c r="AE672" s="66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71"/>
      <c r="T673" s="62"/>
      <c r="U673" s="65"/>
      <c r="V673" s="65"/>
      <c r="W673" s="66"/>
      <c r="X673" s="66"/>
      <c r="Y673" s="66"/>
      <c r="Z673" s="66"/>
      <c r="AA673" s="66"/>
      <c r="AB673" s="66"/>
      <c r="AC673" s="66"/>
      <c r="AD673" s="66"/>
      <c r="AE673" s="66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71"/>
      <c r="T674" s="62"/>
      <c r="U674" s="65"/>
      <c r="V674" s="65"/>
      <c r="W674" s="66"/>
      <c r="X674" s="66"/>
      <c r="Y674" s="66"/>
      <c r="Z674" s="66"/>
      <c r="AA674" s="66"/>
      <c r="AB674" s="66"/>
      <c r="AC674" s="66"/>
      <c r="AD674" s="66"/>
      <c r="AE674" s="66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71"/>
      <c r="T675" s="62"/>
      <c r="U675" s="65"/>
      <c r="V675" s="65"/>
      <c r="W675" s="66"/>
      <c r="X675" s="66"/>
      <c r="Y675" s="66"/>
      <c r="Z675" s="66"/>
      <c r="AA675" s="66"/>
      <c r="AB675" s="66"/>
      <c r="AC675" s="66"/>
      <c r="AD675" s="66"/>
      <c r="AE675" s="66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71"/>
      <c r="T676" s="62"/>
      <c r="U676" s="65"/>
      <c r="V676" s="65"/>
      <c r="W676" s="66"/>
      <c r="X676" s="66"/>
      <c r="Y676" s="66"/>
      <c r="Z676" s="66"/>
      <c r="AA676" s="66"/>
      <c r="AB676" s="66"/>
      <c r="AC676" s="66"/>
      <c r="AD676" s="66"/>
      <c r="AE676" s="66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71"/>
      <c r="T677" s="62"/>
      <c r="U677" s="65"/>
      <c r="V677" s="65"/>
      <c r="W677" s="66"/>
      <c r="X677" s="66"/>
      <c r="Y677" s="66"/>
      <c r="Z677" s="66"/>
      <c r="AA677" s="66"/>
      <c r="AB677" s="66"/>
      <c r="AC677" s="66"/>
      <c r="AD677" s="66"/>
      <c r="AE677" s="66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71"/>
      <c r="T678" s="62"/>
      <c r="U678" s="65"/>
      <c r="V678" s="65"/>
      <c r="W678" s="66"/>
      <c r="X678" s="66"/>
      <c r="Y678" s="66"/>
      <c r="Z678" s="66"/>
      <c r="AA678" s="66"/>
      <c r="AB678" s="66"/>
      <c r="AC678" s="66"/>
      <c r="AD678" s="66"/>
      <c r="AE678" s="66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71"/>
      <c r="T679" s="62"/>
      <c r="U679" s="65"/>
      <c r="V679" s="65"/>
      <c r="W679" s="66"/>
      <c r="X679" s="66"/>
      <c r="Y679" s="66"/>
      <c r="Z679" s="66"/>
      <c r="AA679" s="66"/>
      <c r="AB679" s="66"/>
      <c r="AC679" s="66"/>
      <c r="AD679" s="66"/>
      <c r="AE679" s="66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71"/>
      <c r="T680" s="62"/>
      <c r="U680" s="65"/>
      <c r="V680" s="65"/>
      <c r="W680" s="66"/>
      <c r="X680" s="66"/>
      <c r="Y680" s="66"/>
      <c r="Z680" s="66"/>
      <c r="AA680" s="66"/>
      <c r="AB680" s="66"/>
      <c r="AC680" s="66"/>
      <c r="AD680" s="66"/>
      <c r="AE680" s="66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71"/>
      <c r="T681" s="62"/>
      <c r="U681" s="65"/>
      <c r="V681" s="65"/>
      <c r="W681" s="66"/>
      <c r="X681" s="66"/>
      <c r="Y681" s="66"/>
      <c r="Z681" s="66"/>
      <c r="AA681" s="66"/>
      <c r="AB681" s="66"/>
      <c r="AC681" s="66"/>
      <c r="AD681" s="66"/>
      <c r="AE681" s="66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71"/>
      <c r="T682" s="62"/>
      <c r="U682" s="65"/>
      <c r="V682" s="65"/>
      <c r="W682" s="66"/>
      <c r="X682" s="66"/>
      <c r="Y682" s="66"/>
      <c r="Z682" s="66"/>
      <c r="AA682" s="66"/>
      <c r="AB682" s="66"/>
      <c r="AC682" s="66"/>
      <c r="AD682" s="66"/>
      <c r="AE682" s="66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71"/>
      <c r="T683" s="62"/>
      <c r="U683" s="65"/>
      <c r="V683" s="65"/>
      <c r="W683" s="66"/>
      <c r="X683" s="66"/>
      <c r="Y683" s="66"/>
      <c r="Z683" s="66"/>
      <c r="AA683" s="66"/>
      <c r="AB683" s="66"/>
      <c r="AC683" s="66"/>
      <c r="AD683" s="66"/>
      <c r="AE683" s="66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71"/>
      <c r="T684" s="62"/>
      <c r="U684" s="65"/>
      <c r="V684" s="65"/>
      <c r="W684" s="66"/>
      <c r="X684" s="66"/>
      <c r="Y684" s="66"/>
      <c r="Z684" s="66"/>
      <c r="AA684" s="66"/>
      <c r="AB684" s="66"/>
      <c r="AC684" s="66"/>
      <c r="AD684" s="66"/>
      <c r="AE684" s="66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71"/>
      <c r="T685" s="62"/>
      <c r="U685" s="65"/>
      <c r="V685" s="65"/>
      <c r="W685" s="66"/>
      <c r="X685" s="66"/>
      <c r="Y685" s="66"/>
      <c r="Z685" s="66"/>
      <c r="AA685" s="66"/>
      <c r="AB685" s="66"/>
      <c r="AC685" s="66"/>
      <c r="AD685" s="66"/>
      <c r="AE685" s="66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71"/>
      <c r="T686" s="62"/>
      <c r="U686" s="65"/>
      <c r="V686" s="65"/>
      <c r="W686" s="66"/>
      <c r="X686" s="66"/>
      <c r="Y686" s="66"/>
      <c r="Z686" s="66"/>
      <c r="AA686" s="66"/>
      <c r="AB686" s="66"/>
      <c r="AC686" s="66"/>
      <c r="AD686" s="66"/>
      <c r="AE686" s="66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71"/>
      <c r="T687" s="62"/>
      <c r="U687" s="65"/>
      <c r="V687" s="65"/>
      <c r="W687" s="66"/>
      <c r="X687" s="66"/>
      <c r="Y687" s="66"/>
      <c r="Z687" s="66"/>
      <c r="AA687" s="66"/>
      <c r="AB687" s="66"/>
      <c r="AC687" s="66"/>
      <c r="AD687" s="66"/>
      <c r="AE687" s="66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71"/>
      <c r="T688" s="62"/>
      <c r="U688" s="65"/>
      <c r="V688" s="65"/>
      <c r="W688" s="66"/>
      <c r="X688" s="66"/>
      <c r="Y688" s="66"/>
      <c r="Z688" s="66"/>
      <c r="AA688" s="66"/>
      <c r="AB688" s="66"/>
      <c r="AC688" s="66"/>
      <c r="AD688" s="66"/>
      <c r="AE688" s="66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71"/>
      <c r="T689" s="62"/>
      <c r="U689" s="65"/>
      <c r="V689" s="65"/>
      <c r="W689" s="66"/>
      <c r="X689" s="66"/>
      <c r="Y689" s="66"/>
      <c r="Z689" s="66"/>
      <c r="AA689" s="66"/>
      <c r="AB689" s="66"/>
      <c r="AC689" s="66"/>
      <c r="AD689" s="66"/>
      <c r="AE689" s="66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71"/>
      <c r="T690" s="62"/>
      <c r="U690" s="65"/>
      <c r="V690" s="65"/>
      <c r="W690" s="66"/>
      <c r="X690" s="66"/>
      <c r="Y690" s="66"/>
      <c r="Z690" s="66"/>
      <c r="AA690" s="66"/>
      <c r="AB690" s="66"/>
      <c r="AC690" s="66"/>
      <c r="AD690" s="66"/>
      <c r="AE690" s="66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71"/>
      <c r="T691" s="62"/>
      <c r="U691" s="65"/>
      <c r="V691" s="65"/>
      <c r="W691" s="66"/>
      <c r="X691" s="66"/>
      <c r="Y691" s="66"/>
      <c r="Z691" s="66"/>
      <c r="AA691" s="66"/>
      <c r="AB691" s="66"/>
      <c r="AC691" s="66"/>
      <c r="AD691" s="66"/>
      <c r="AE691" s="66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71"/>
      <c r="T692" s="62"/>
      <c r="U692" s="65"/>
      <c r="V692" s="65"/>
      <c r="W692" s="66"/>
      <c r="X692" s="66"/>
      <c r="Y692" s="66"/>
      <c r="Z692" s="66"/>
      <c r="AA692" s="66"/>
      <c r="AB692" s="66"/>
      <c r="AC692" s="66"/>
      <c r="AD692" s="66"/>
      <c r="AE692" s="66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71"/>
      <c r="T693" s="62"/>
      <c r="U693" s="65"/>
      <c r="V693" s="65"/>
      <c r="W693" s="66"/>
      <c r="X693" s="66"/>
      <c r="Y693" s="66"/>
      <c r="Z693" s="66"/>
      <c r="AA693" s="66"/>
      <c r="AB693" s="66"/>
      <c r="AC693" s="66"/>
      <c r="AD693" s="66"/>
      <c r="AE693" s="66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71"/>
      <c r="T694" s="62"/>
      <c r="U694" s="65"/>
      <c r="V694" s="65"/>
      <c r="W694" s="66"/>
      <c r="X694" s="66"/>
      <c r="Y694" s="66"/>
      <c r="Z694" s="66"/>
      <c r="AA694" s="66"/>
      <c r="AB694" s="66"/>
      <c r="AC694" s="66"/>
      <c r="AD694" s="66"/>
      <c r="AE694" s="66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71"/>
      <c r="T695" s="62"/>
      <c r="U695" s="65"/>
      <c r="V695" s="65"/>
      <c r="W695" s="66"/>
      <c r="X695" s="66"/>
      <c r="Y695" s="66"/>
      <c r="Z695" s="66"/>
      <c r="AA695" s="66"/>
      <c r="AB695" s="66"/>
      <c r="AC695" s="66"/>
      <c r="AD695" s="66"/>
      <c r="AE695" s="66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71"/>
      <c r="T696" s="62"/>
      <c r="U696" s="65"/>
      <c r="V696" s="65"/>
      <c r="W696" s="66"/>
      <c r="X696" s="66"/>
      <c r="Y696" s="66"/>
      <c r="Z696" s="66"/>
      <c r="AA696" s="66"/>
      <c r="AB696" s="66"/>
      <c r="AC696" s="66"/>
      <c r="AD696" s="66"/>
      <c r="AE696" s="66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71"/>
      <c r="T697" s="62"/>
      <c r="U697" s="65"/>
      <c r="V697" s="65"/>
      <c r="W697" s="66"/>
      <c r="X697" s="66"/>
      <c r="Y697" s="66"/>
      <c r="Z697" s="66"/>
      <c r="AA697" s="66"/>
      <c r="AB697" s="66"/>
      <c r="AC697" s="66"/>
      <c r="AD697" s="66"/>
      <c r="AE697" s="66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71"/>
      <c r="T698" s="62"/>
      <c r="U698" s="65"/>
      <c r="V698" s="65"/>
      <c r="W698" s="66"/>
      <c r="X698" s="66"/>
      <c r="Y698" s="66"/>
      <c r="Z698" s="66"/>
      <c r="AA698" s="66"/>
      <c r="AB698" s="66"/>
      <c r="AC698" s="66"/>
      <c r="AD698" s="66"/>
      <c r="AE698" s="66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71"/>
      <c r="T699" s="62"/>
      <c r="U699" s="65"/>
      <c r="V699" s="65"/>
      <c r="W699" s="66"/>
      <c r="X699" s="66"/>
      <c r="Y699" s="66"/>
      <c r="Z699" s="66"/>
      <c r="AA699" s="66"/>
      <c r="AB699" s="66"/>
      <c r="AC699" s="66"/>
      <c r="AD699" s="66"/>
      <c r="AE699" s="66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71"/>
      <c r="T700" s="62"/>
      <c r="U700" s="65"/>
      <c r="V700" s="65"/>
      <c r="W700" s="66"/>
      <c r="X700" s="66"/>
      <c r="Y700" s="66"/>
      <c r="Z700" s="66"/>
      <c r="AA700" s="66"/>
      <c r="AB700" s="66"/>
      <c r="AC700" s="66"/>
      <c r="AD700" s="66"/>
      <c r="AE700" s="66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71"/>
      <c r="T701" s="62"/>
      <c r="U701" s="65"/>
      <c r="V701" s="65"/>
      <c r="W701" s="66"/>
      <c r="X701" s="66"/>
      <c r="Y701" s="66"/>
      <c r="Z701" s="66"/>
      <c r="AA701" s="66"/>
      <c r="AB701" s="66"/>
      <c r="AC701" s="66"/>
      <c r="AD701" s="66"/>
      <c r="AE701" s="66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71"/>
      <c r="T702" s="62"/>
      <c r="U702" s="65"/>
      <c r="V702" s="65"/>
      <c r="W702" s="66"/>
      <c r="X702" s="66"/>
      <c r="Y702" s="66"/>
      <c r="Z702" s="66"/>
      <c r="AA702" s="66"/>
      <c r="AB702" s="66"/>
      <c r="AC702" s="66"/>
      <c r="AD702" s="66"/>
      <c r="AE702" s="66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71"/>
      <c r="T703" s="62"/>
      <c r="U703" s="65"/>
      <c r="V703" s="65"/>
      <c r="W703" s="66"/>
      <c r="X703" s="66"/>
      <c r="Y703" s="66"/>
      <c r="Z703" s="66"/>
      <c r="AA703" s="66"/>
      <c r="AB703" s="66"/>
      <c r="AC703" s="66"/>
      <c r="AD703" s="66"/>
      <c r="AE703" s="66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71"/>
      <c r="T704" s="62"/>
      <c r="U704" s="65"/>
      <c r="V704" s="65"/>
      <c r="W704" s="66"/>
      <c r="X704" s="66"/>
      <c r="Y704" s="66"/>
      <c r="Z704" s="66"/>
      <c r="AA704" s="66"/>
      <c r="AB704" s="66"/>
      <c r="AC704" s="66"/>
      <c r="AD704" s="66"/>
      <c r="AE704" s="66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71"/>
      <c r="T705" s="62"/>
      <c r="U705" s="65"/>
      <c r="V705" s="65"/>
      <c r="W705" s="66"/>
      <c r="X705" s="66"/>
      <c r="Y705" s="66"/>
      <c r="Z705" s="66"/>
      <c r="AA705" s="66"/>
      <c r="AB705" s="66"/>
      <c r="AC705" s="66"/>
      <c r="AD705" s="66"/>
      <c r="AE705" s="66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71"/>
      <c r="T706" s="62"/>
      <c r="U706" s="65"/>
      <c r="V706" s="65"/>
      <c r="W706" s="66"/>
      <c r="X706" s="66"/>
      <c r="Y706" s="66"/>
      <c r="Z706" s="66"/>
      <c r="AA706" s="66"/>
      <c r="AB706" s="66"/>
      <c r="AC706" s="66"/>
      <c r="AD706" s="66"/>
      <c r="AE706" s="66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71"/>
      <c r="T707" s="62"/>
      <c r="U707" s="65"/>
      <c r="V707" s="65"/>
      <c r="W707" s="66"/>
      <c r="X707" s="66"/>
      <c r="Y707" s="66"/>
      <c r="Z707" s="66"/>
      <c r="AA707" s="66"/>
      <c r="AB707" s="66"/>
      <c r="AC707" s="66"/>
      <c r="AD707" s="66"/>
      <c r="AE707" s="66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71"/>
      <c r="T708" s="62"/>
      <c r="U708" s="65"/>
      <c r="V708" s="65"/>
      <c r="W708" s="66"/>
      <c r="X708" s="66"/>
      <c r="Y708" s="66"/>
      <c r="Z708" s="66"/>
      <c r="AA708" s="66"/>
      <c r="AB708" s="66"/>
      <c r="AC708" s="66"/>
      <c r="AD708" s="66"/>
      <c r="AE708" s="66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71"/>
      <c r="T709" s="62"/>
      <c r="U709" s="65"/>
      <c r="V709" s="65"/>
      <c r="W709" s="66"/>
      <c r="X709" s="66"/>
      <c r="Y709" s="66"/>
      <c r="Z709" s="66"/>
      <c r="AA709" s="66"/>
      <c r="AB709" s="66"/>
      <c r="AC709" s="66"/>
      <c r="AD709" s="66"/>
      <c r="AE709" s="66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71"/>
      <c r="T710" s="62"/>
      <c r="U710" s="65"/>
      <c r="V710" s="65"/>
      <c r="W710" s="66"/>
      <c r="X710" s="66"/>
      <c r="Y710" s="66"/>
      <c r="Z710" s="66"/>
      <c r="AA710" s="66"/>
      <c r="AB710" s="66"/>
      <c r="AC710" s="66"/>
      <c r="AD710" s="66"/>
      <c r="AE710" s="66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71"/>
      <c r="T711" s="62"/>
      <c r="U711" s="65"/>
      <c r="V711" s="65"/>
      <c r="W711" s="66"/>
      <c r="X711" s="66"/>
      <c r="Y711" s="66"/>
      <c r="Z711" s="66"/>
      <c r="AA711" s="66"/>
      <c r="AB711" s="66"/>
      <c r="AC711" s="66"/>
      <c r="AD711" s="66"/>
      <c r="AE711" s="66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71"/>
      <c r="T712" s="62"/>
      <c r="U712" s="65"/>
      <c r="V712" s="65"/>
      <c r="W712" s="66"/>
      <c r="X712" s="66"/>
      <c r="Y712" s="66"/>
      <c r="Z712" s="66"/>
      <c r="AA712" s="66"/>
      <c r="AB712" s="66"/>
      <c r="AC712" s="66"/>
      <c r="AD712" s="66"/>
      <c r="AE712" s="66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71"/>
      <c r="T713" s="62"/>
      <c r="U713" s="65"/>
      <c r="V713" s="65"/>
      <c r="W713" s="66"/>
      <c r="X713" s="66"/>
      <c r="Y713" s="66"/>
      <c r="Z713" s="66"/>
      <c r="AA713" s="66"/>
      <c r="AB713" s="66"/>
      <c r="AC713" s="66"/>
      <c r="AD713" s="66"/>
      <c r="AE713" s="66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71"/>
      <c r="T714" s="62"/>
      <c r="U714" s="65"/>
      <c r="V714" s="65"/>
      <c r="W714" s="66"/>
      <c r="X714" s="66"/>
      <c r="Y714" s="66"/>
      <c r="Z714" s="66"/>
      <c r="AA714" s="66"/>
      <c r="AB714" s="66"/>
      <c r="AC714" s="66"/>
      <c r="AD714" s="66"/>
      <c r="AE714" s="66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71"/>
      <c r="T715" s="62"/>
      <c r="U715" s="65"/>
      <c r="V715" s="65"/>
      <c r="W715" s="66"/>
      <c r="X715" s="66"/>
      <c r="Y715" s="66"/>
      <c r="Z715" s="66"/>
      <c r="AA715" s="66"/>
      <c r="AB715" s="66"/>
      <c r="AC715" s="66"/>
      <c r="AD715" s="66"/>
      <c r="AE715" s="66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71"/>
      <c r="T716" s="62"/>
      <c r="U716" s="65"/>
      <c r="V716" s="65"/>
      <c r="W716" s="66"/>
      <c r="X716" s="66"/>
      <c r="Y716" s="66"/>
      <c r="Z716" s="66"/>
      <c r="AA716" s="66"/>
      <c r="AB716" s="66"/>
      <c r="AC716" s="66"/>
      <c r="AD716" s="66"/>
      <c r="AE716" s="66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71"/>
      <c r="T717" s="62"/>
      <c r="U717" s="65"/>
      <c r="V717" s="65"/>
      <c r="W717" s="66"/>
      <c r="X717" s="66"/>
      <c r="Y717" s="66"/>
      <c r="Z717" s="66"/>
      <c r="AA717" s="66"/>
      <c r="AB717" s="66"/>
      <c r="AC717" s="66"/>
      <c r="AD717" s="66"/>
      <c r="AE717" s="66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71"/>
      <c r="T718" s="62"/>
      <c r="U718" s="65"/>
      <c r="V718" s="65"/>
      <c r="W718" s="66"/>
      <c r="X718" s="66"/>
      <c r="Y718" s="66"/>
      <c r="Z718" s="66"/>
      <c r="AA718" s="66"/>
      <c r="AB718" s="66"/>
      <c r="AC718" s="66"/>
      <c r="AD718" s="66"/>
      <c r="AE718" s="66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71"/>
      <c r="T719" s="62"/>
      <c r="U719" s="65"/>
      <c r="V719" s="65"/>
      <c r="W719" s="66"/>
      <c r="X719" s="66"/>
      <c r="Y719" s="66"/>
      <c r="Z719" s="66"/>
      <c r="AA719" s="66"/>
      <c r="AB719" s="66"/>
      <c r="AC719" s="66"/>
      <c r="AD719" s="66"/>
      <c r="AE719" s="66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71"/>
      <c r="T720" s="62"/>
      <c r="U720" s="65"/>
      <c r="V720" s="65"/>
      <c r="W720" s="66"/>
      <c r="X720" s="66"/>
      <c r="Y720" s="66"/>
      <c r="Z720" s="66"/>
      <c r="AA720" s="66"/>
      <c r="AB720" s="66"/>
      <c r="AC720" s="66"/>
      <c r="AD720" s="66"/>
      <c r="AE720" s="66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71"/>
      <c r="T721" s="62"/>
      <c r="U721" s="65"/>
      <c r="V721" s="65"/>
      <c r="W721" s="66"/>
      <c r="X721" s="66"/>
      <c r="Y721" s="66"/>
      <c r="Z721" s="66"/>
      <c r="AA721" s="66"/>
      <c r="AB721" s="66"/>
      <c r="AC721" s="66"/>
      <c r="AD721" s="66"/>
      <c r="AE721" s="66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71"/>
      <c r="T722" s="62"/>
      <c r="U722" s="65"/>
      <c r="V722" s="65"/>
      <c r="W722" s="66"/>
      <c r="X722" s="66"/>
      <c r="Y722" s="66"/>
      <c r="Z722" s="66"/>
      <c r="AA722" s="66"/>
      <c r="AB722" s="66"/>
      <c r="AC722" s="66"/>
      <c r="AD722" s="66"/>
      <c r="AE722" s="66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71"/>
      <c r="T723" s="62"/>
      <c r="U723" s="65"/>
      <c r="V723" s="65"/>
      <c r="W723" s="66"/>
      <c r="X723" s="66"/>
      <c r="Y723" s="66"/>
      <c r="Z723" s="66"/>
      <c r="AA723" s="66"/>
      <c r="AB723" s="66"/>
      <c r="AC723" s="66"/>
      <c r="AD723" s="66"/>
      <c r="AE723" s="66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71"/>
      <c r="T724" s="62"/>
      <c r="U724" s="65"/>
      <c r="V724" s="65"/>
      <c r="W724" s="66"/>
      <c r="X724" s="66"/>
      <c r="Y724" s="66"/>
      <c r="Z724" s="66"/>
      <c r="AA724" s="66"/>
      <c r="AB724" s="66"/>
      <c r="AC724" s="66"/>
      <c r="AD724" s="66"/>
      <c r="AE724" s="66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71"/>
      <c r="T725" s="62"/>
      <c r="U725" s="65"/>
      <c r="V725" s="65"/>
      <c r="W725" s="66"/>
      <c r="X725" s="66"/>
      <c r="Y725" s="66"/>
      <c r="Z725" s="66"/>
      <c r="AA725" s="66"/>
      <c r="AB725" s="66"/>
      <c r="AC725" s="66"/>
      <c r="AD725" s="66"/>
      <c r="AE725" s="66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71"/>
      <c r="T726" s="62"/>
      <c r="U726" s="65"/>
      <c r="V726" s="65"/>
      <c r="W726" s="66"/>
      <c r="X726" s="66"/>
      <c r="Y726" s="66"/>
      <c r="Z726" s="66"/>
      <c r="AA726" s="66"/>
      <c r="AB726" s="66"/>
      <c r="AC726" s="66"/>
      <c r="AD726" s="66"/>
      <c r="AE726" s="66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71"/>
      <c r="T727" s="62"/>
      <c r="U727" s="65"/>
      <c r="V727" s="65"/>
      <c r="W727" s="66"/>
      <c r="X727" s="66"/>
      <c r="Y727" s="66"/>
      <c r="Z727" s="66"/>
      <c r="AA727" s="66"/>
      <c r="AB727" s="66"/>
      <c r="AC727" s="66"/>
      <c r="AD727" s="66"/>
      <c r="AE727" s="66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71"/>
      <c r="T728" s="62"/>
      <c r="U728" s="65"/>
      <c r="V728" s="65"/>
      <c r="W728" s="66"/>
      <c r="X728" s="66"/>
      <c r="Y728" s="66"/>
      <c r="Z728" s="66"/>
      <c r="AA728" s="66"/>
      <c r="AB728" s="66"/>
      <c r="AC728" s="66"/>
      <c r="AD728" s="66"/>
      <c r="AE728" s="66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71"/>
      <c r="T729" s="62"/>
      <c r="U729" s="65"/>
      <c r="V729" s="65"/>
      <c r="W729" s="66"/>
      <c r="X729" s="66"/>
      <c r="Y729" s="66"/>
      <c r="Z729" s="66"/>
      <c r="AA729" s="66"/>
      <c r="AB729" s="66"/>
      <c r="AC729" s="66"/>
      <c r="AD729" s="66"/>
      <c r="AE729" s="66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71"/>
      <c r="T730" s="62"/>
      <c r="U730" s="65"/>
      <c r="V730" s="65"/>
      <c r="W730" s="66"/>
      <c r="X730" s="66"/>
      <c r="Y730" s="66"/>
      <c r="Z730" s="66"/>
      <c r="AA730" s="66"/>
      <c r="AB730" s="66"/>
      <c r="AC730" s="66"/>
      <c r="AD730" s="66"/>
      <c r="AE730" s="66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71"/>
      <c r="T731" s="62"/>
      <c r="U731" s="65"/>
      <c r="V731" s="65"/>
      <c r="W731" s="66"/>
      <c r="X731" s="66"/>
      <c r="Y731" s="66"/>
      <c r="Z731" s="66"/>
      <c r="AA731" s="66"/>
      <c r="AB731" s="66"/>
      <c r="AC731" s="66"/>
      <c r="AD731" s="66"/>
      <c r="AE731" s="66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71"/>
      <c r="T732" s="62"/>
      <c r="U732" s="65"/>
      <c r="V732" s="65"/>
      <c r="W732" s="66"/>
      <c r="X732" s="66"/>
      <c r="Y732" s="66"/>
      <c r="Z732" s="66"/>
      <c r="AA732" s="66"/>
      <c r="AB732" s="66"/>
      <c r="AC732" s="66"/>
      <c r="AD732" s="66"/>
      <c r="AE732" s="66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71"/>
      <c r="T733" s="62"/>
      <c r="U733" s="65"/>
      <c r="V733" s="65"/>
      <c r="W733" s="66"/>
      <c r="X733" s="66"/>
      <c r="Y733" s="66"/>
      <c r="Z733" s="66"/>
      <c r="AA733" s="66"/>
      <c r="AB733" s="66"/>
      <c r="AC733" s="66"/>
      <c r="AD733" s="66"/>
      <c r="AE733" s="66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71"/>
      <c r="T734" s="62"/>
      <c r="U734" s="65"/>
      <c r="V734" s="65"/>
      <c r="W734" s="66"/>
      <c r="X734" s="66"/>
      <c r="Y734" s="66"/>
      <c r="Z734" s="66"/>
      <c r="AA734" s="66"/>
      <c r="AB734" s="66"/>
      <c r="AC734" s="66"/>
      <c r="AD734" s="66"/>
      <c r="AE734" s="66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71"/>
      <c r="T735" s="62"/>
      <c r="U735" s="65"/>
      <c r="V735" s="65"/>
      <c r="W735" s="66"/>
      <c r="X735" s="66"/>
      <c r="Y735" s="66"/>
      <c r="Z735" s="66"/>
      <c r="AA735" s="66"/>
      <c r="AB735" s="66"/>
      <c r="AC735" s="66"/>
      <c r="AD735" s="66"/>
      <c r="AE735" s="66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71"/>
      <c r="T736" s="62"/>
      <c r="U736" s="65"/>
      <c r="V736" s="65"/>
      <c r="W736" s="66"/>
      <c r="X736" s="66"/>
      <c r="Y736" s="66"/>
      <c r="Z736" s="66"/>
      <c r="AA736" s="66"/>
      <c r="AB736" s="66"/>
      <c r="AC736" s="66"/>
      <c r="AD736" s="66"/>
      <c r="AE736" s="66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71"/>
      <c r="T737" s="62"/>
      <c r="U737" s="65"/>
      <c r="V737" s="65"/>
      <c r="W737" s="66"/>
      <c r="X737" s="66"/>
      <c r="Y737" s="66"/>
      <c r="Z737" s="66"/>
      <c r="AA737" s="66"/>
      <c r="AB737" s="66"/>
      <c r="AC737" s="66"/>
      <c r="AD737" s="66"/>
      <c r="AE737" s="66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71"/>
      <c r="T738" s="62"/>
      <c r="U738" s="65"/>
      <c r="V738" s="65"/>
      <c r="W738" s="66"/>
      <c r="X738" s="66"/>
      <c r="Y738" s="66"/>
      <c r="Z738" s="66"/>
      <c r="AA738" s="66"/>
      <c r="AB738" s="66"/>
      <c r="AC738" s="66"/>
      <c r="AD738" s="66"/>
      <c r="AE738" s="66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71"/>
      <c r="T739" s="62"/>
      <c r="U739" s="65"/>
      <c r="V739" s="65"/>
      <c r="W739" s="66"/>
      <c r="X739" s="66"/>
      <c r="Y739" s="66"/>
      <c r="Z739" s="66"/>
      <c r="AA739" s="66"/>
      <c r="AB739" s="66"/>
      <c r="AC739" s="66"/>
      <c r="AD739" s="66"/>
      <c r="AE739" s="66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71"/>
      <c r="T740" s="62"/>
      <c r="U740" s="65"/>
      <c r="V740" s="65"/>
      <c r="W740" s="66"/>
      <c r="X740" s="66"/>
      <c r="Y740" s="66"/>
      <c r="Z740" s="66"/>
      <c r="AA740" s="66"/>
      <c r="AB740" s="66"/>
      <c r="AC740" s="66"/>
      <c r="AD740" s="66"/>
      <c r="AE740" s="66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71"/>
      <c r="T741" s="62"/>
      <c r="U741" s="65"/>
      <c r="V741" s="65"/>
      <c r="W741" s="66"/>
      <c r="X741" s="66"/>
      <c r="Y741" s="66"/>
      <c r="Z741" s="66"/>
      <c r="AA741" s="66"/>
      <c r="AB741" s="66"/>
      <c r="AC741" s="66"/>
      <c r="AD741" s="66"/>
      <c r="AE741" s="66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71"/>
      <c r="T742" s="62"/>
      <c r="U742" s="65"/>
      <c r="V742" s="65"/>
      <c r="W742" s="66"/>
      <c r="X742" s="66"/>
      <c r="Y742" s="66"/>
      <c r="Z742" s="66"/>
      <c r="AA742" s="66"/>
      <c r="AB742" s="66"/>
      <c r="AC742" s="66"/>
      <c r="AD742" s="66"/>
      <c r="AE742" s="66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71"/>
      <c r="T743" s="62"/>
      <c r="U743" s="65"/>
      <c r="V743" s="65"/>
      <c r="W743" s="66"/>
      <c r="X743" s="66"/>
      <c r="Y743" s="66"/>
      <c r="Z743" s="66"/>
      <c r="AA743" s="66"/>
      <c r="AB743" s="66"/>
      <c r="AC743" s="66"/>
      <c r="AD743" s="66"/>
      <c r="AE743" s="66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71"/>
      <c r="T744" s="62"/>
      <c r="U744" s="65"/>
      <c r="V744" s="65"/>
      <c r="W744" s="66"/>
      <c r="X744" s="66"/>
      <c r="Y744" s="66"/>
      <c r="Z744" s="66"/>
      <c r="AA744" s="66"/>
      <c r="AB744" s="66"/>
      <c r="AC744" s="66"/>
      <c r="AD744" s="66"/>
      <c r="AE744" s="66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71"/>
      <c r="T745" s="62"/>
      <c r="U745" s="65"/>
      <c r="V745" s="65"/>
      <c r="W745" s="66"/>
      <c r="X745" s="66"/>
      <c r="Y745" s="66"/>
      <c r="Z745" s="66"/>
      <c r="AA745" s="66"/>
      <c r="AB745" s="66"/>
      <c r="AC745" s="66"/>
      <c r="AD745" s="66"/>
      <c r="AE745" s="66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71"/>
      <c r="T746" s="62"/>
      <c r="U746" s="65"/>
      <c r="V746" s="65"/>
      <c r="W746" s="66"/>
      <c r="X746" s="66"/>
      <c r="Y746" s="66"/>
      <c r="Z746" s="66"/>
      <c r="AA746" s="66"/>
      <c r="AB746" s="66"/>
      <c r="AC746" s="66"/>
      <c r="AD746" s="66"/>
      <c r="AE746" s="66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71"/>
      <c r="T747" s="62"/>
      <c r="U747" s="65"/>
      <c r="V747" s="65"/>
      <c r="W747" s="66"/>
      <c r="X747" s="66"/>
      <c r="Y747" s="66"/>
      <c r="Z747" s="66"/>
      <c r="AA747" s="66"/>
      <c r="AB747" s="66"/>
      <c r="AC747" s="66"/>
      <c r="AD747" s="66"/>
      <c r="AE747" s="66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71"/>
      <c r="T748" s="62"/>
      <c r="U748" s="65"/>
      <c r="V748" s="65"/>
      <c r="W748" s="66"/>
      <c r="X748" s="66"/>
      <c r="Y748" s="66"/>
      <c r="Z748" s="66"/>
      <c r="AA748" s="66"/>
      <c r="AB748" s="66"/>
      <c r="AC748" s="66"/>
      <c r="AD748" s="66"/>
      <c r="AE748" s="66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71"/>
      <c r="T749" s="62"/>
      <c r="U749" s="65"/>
      <c r="V749" s="65"/>
      <c r="W749" s="66"/>
      <c r="X749" s="66"/>
      <c r="Y749" s="66"/>
      <c r="Z749" s="66"/>
      <c r="AA749" s="66"/>
      <c r="AB749" s="66"/>
      <c r="AC749" s="66"/>
      <c r="AD749" s="66"/>
      <c r="AE749" s="66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71"/>
      <c r="T750" s="62"/>
      <c r="U750" s="65"/>
      <c r="V750" s="65"/>
      <c r="W750" s="66"/>
      <c r="X750" s="66"/>
      <c r="Y750" s="66"/>
      <c r="Z750" s="66"/>
      <c r="AA750" s="66"/>
      <c r="AB750" s="66"/>
      <c r="AC750" s="66"/>
      <c r="AD750" s="66"/>
      <c r="AE750" s="66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71"/>
      <c r="T751" s="62"/>
      <c r="U751" s="65"/>
      <c r="V751" s="65"/>
      <c r="W751" s="66"/>
      <c r="X751" s="66"/>
      <c r="Y751" s="66"/>
      <c r="Z751" s="66"/>
      <c r="AA751" s="66"/>
      <c r="AB751" s="66"/>
      <c r="AC751" s="66"/>
      <c r="AD751" s="66"/>
      <c r="AE751" s="66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71"/>
      <c r="T752" s="62"/>
      <c r="U752" s="65"/>
      <c r="V752" s="65"/>
      <c r="W752" s="66"/>
      <c r="X752" s="66"/>
      <c r="Y752" s="66"/>
      <c r="Z752" s="66"/>
      <c r="AA752" s="66"/>
      <c r="AB752" s="66"/>
      <c r="AC752" s="66"/>
      <c r="AD752" s="66"/>
      <c r="AE752" s="66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71"/>
      <c r="T753" s="62"/>
      <c r="U753" s="65"/>
      <c r="V753" s="65"/>
      <c r="W753" s="66"/>
      <c r="X753" s="66"/>
      <c r="Y753" s="66"/>
      <c r="Z753" s="66"/>
      <c r="AA753" s="66"/>
      <c r="AB753" s="66"/>
      <c r="AC753" s="66"/>
      <c r="AD753" s="66"/>
      <c r="AE753" s="66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71"/>
      <c r="T754" s="62"/>
      <c r="U754" s="65"/>
      <c r="V754" s="65"/>
      <c r="W754" s="66"/>
      <c r="X754" s="66"/>
      <c r="Y754" s="66"/>
      <c r="Z754" s="66"/>
      <c r="AA754" s="66"/>
      <c r="AB754" s="66"/>
      <c r="AC754" s="66"/>
      <c r="AD754" s="66"/>
      <c r="AE754" s="66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71"/>
      <c r="T755" s="62"/>
      <c r="U755" s="65"/>
      <c r="V755" s="65"/>
      <c r="W755" s="66"/>
      <c r="X755" s="66"/>
      <c r="Y755" s="66"/>
      <c r="Z755" s="66"/>
      <c r="AA755" s="66"/>
      <c r="AB755" s="66"/>
      <c r="AC755" s="66"/>
      <c r="AD755" s="66"/>
      <c r="AE755" s="66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71"/>
      <c r="T756" s="62"/>
      <c r="U756" s="65"/>
      <c r="V756" s="65"/>
      <c r="W756" s="66"/>
      <c r="X756" s="66"/>
      <c r="Y756" s="66"/>
      <c r="Z756" s="66"/>
      <c r="AA756" s="66"/>
      <c r="AB756" s="66"/>
      <c r="AC756" s="66"/>
      <c r="AD756" s="66"/>
      <c r="AE756" s="66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71"/>
      <c r="T757" s="62"/>
      <c r="U757" s="65"/>
      <c r="V757" s="65"/>
      <c r="W757" s="66"/>
      <c r="X757" s="66"/>
      <c r="Y757" s="66"/>
      <c r="Z757" s="66"/>
      <c r="AA757" s="66"/>
      <c r="AB757" s="66"/>
      <c r="AC757" s="66"/>
      <c r="AD757" s="66"/>
      <c r="AE757" s="66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71"/>
      <c r="T758" s="62"/>
      <c r="U758" s="65"/>
      <c r="V758" s="65"/>
      <c r="W758" s="66"/>
      <c r="X758" s="66"/>
      <c r="Y758" s="66"/>
      <c r="Z758" s="66"/>
      <c r="AA758" s="66"/>
      <c r="AB758" s="66"/>
      <c r="AC758" s="66"/>
      <c r="AD758" s="66"/>
      <c r="AE758" s="66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71"/>
      <c r="T759" s="62"/>
      <c r="U759" s="65"/>
      <c r="V759" s="65"/>
      <c r="W759" s="66"/>
      <c r="X759" s="66"/>
      <c r="Y759" s="66"/>
      <c r="Z759" s="66"/>
      <c r="AA759" s="66"/>
      <c r="AB759" s="66"/>
      <c r="AC759" s="66"/>
      <c r="AD759" s="66"/>
      <c r="AE759" s="66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71"/>
      <c r="T760" s="62"/>
      <c r="U760" s="65"/>
      <c r="V760" s="65"/>
      <c r="W760" s="66"/>
      <c r="X760" s="66"/>
      <c r="Y760" s="66"/>
      <c r="Z760" s="66"/>
      <c r="AA760" s="66"/>
      <c r="AB760" s="66"/>
      <c r="AC760" s="66"/>
      <c r="AD760" s="66"/>
      <c r="AE760" s="66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71"/>
      <c r="T761" s="62"/>
      <c r="U761" s="65"/>
      <c r="V761" s="65"/>
      <c r="W761" s="66"/>
      <c r="X761" s="66"/>
      <c r="Y761" s="66"/>
      <c r="Z761" s="66"/>
      <c r="AA761" s="66"/>
      <c r="AB761" s="66"/>
      <c r="AC761" s="66"/>
      <c r="AD761" s="66"/>
      <c r="AE761" s="66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71"/>
      <c r="T762" s="62"/>
      <c r="U762" s="65"/>
      <c r="V762" s="65"/>
      <c r="W762" s="66"/>
      <c r="X762" s="66"/>
      <c r="Y762" s="66"/>
      <c r="Z762" s="66"/>
      <c r="AA762" s="66"/>
      <c r="AB762" s="66"/>
      <c r="AC762" s="66"/>
      <c r="AD762" s="66"/>
      <c r="AE762" s="66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71"/>
      <c r="T763" s="62"/>
      <c r="U763" s="65"/>
      <c r="V763" s="65"/>
      <c r="W763" s="66"/>
      <c r="X763" s="66"/>
      <c r="Y763" s="66"/>
      <c r="Z763" s="66"/>
      <c r="AA763" s="66"/>
      <c r="AB763" s="66"/>
      <c r="AC763" s="66"/>
      <c r="AD763" s="66"/>
      <c r="AE763" s="66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71"/>
      <c r="T764" s="62"/>
      <c r="U764" s="65"/>
      <c r="V764" s="65"/>
      <c r="W764" s="66"/>
      <c r="X764" s="66"/>
      <c r="Y764" s="66"/>
      <c r="Z764" s="66"/>
      <c r="AA764" s="66"/>
      <c r="AB764" s="66"/>
      <c r="AC764" s="66"/>
      <c r="AD764" s="66"/>
      <c r="AE764" s="66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71"/>
      <c r="T765" s="62"/>
      <c r="U765" s="65"/>
      <c r="V765" s="65"/>
      <c r="W765" s="66"/>
      <c r="X765" s="66"/>
      <c r="Y765" s="66"/>
      <c r="Z765" s="66"/>
      <c r="AA765" s="66"/>
      <c r="AB765" s="66"/>
      <c r="AC765" s="66"/>
      <c r="AD765" s="66"/>
      <c r="AE765" s="66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71"/>
      <c r="T766" s="62"/>
      <c r="U766" s="65"/>
      <c r="V766" s="65"/>
      <c r="W766" s="66"/>
      <c r="X766" s="66"/>
      <c r="Y766" s="66"/>
      <c r="Z766" s="66"/>
      <c r="AA766" s="66"/>
      <c r="AB766" s="66"/>
      <c r="AC766" s="66"/>
      <c r="AD766" s="66"/>
      <c r="AE766" s="66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71"/>
      <c r="T767" s="62"/>
      <c r="U767" s="65"/>
      <c r="V767" s="65"/>
      <c r="W767" s="66"/>
      <c r="X767" s="66"/>
      <c r="Y767" s="66"/>
      <c r="Z767" s="66"/>
      <c r="AA767" s="66"/>
      <c r="AB767" s="66"/>
      <c r="AC767" s="66"/>
      <c r="AD767" s="66"/>
      <c r="AE767" s="66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71"/>
      <c r="T768" s="62"/>
      <c r="U768" s="65"/>
      <c r="V768" s="65"/>
      <c r="W768" s="66"/>
      <c r="X768" s="66"/>
      <c r="Y768" s="66"/>
      <c r="Z768" s="66"/>
      <c r="AA768" s="66"/>
      <c r="AB768" s="66"/>
      <c r="AC768" s="66"/>
      <c r="AD768" s="66"/>
      <c r="AE768" s="66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71"/>
      <c r="T769" s="62"/>
      <c r="U769" s="65"/>
      <c r="V769" s="65"/>
      <c r="W769" s="66"/>
      <c r="X769" s="66"/>
      <c r="Y769" s="66"/>
      <c r="Z769" s="66"/>
      <c r="AA769" s="66"/>
      <c r="AB769" s="66"/>
      <c r="AC769" s="66"/>
      <c r="AD769" s="66"/>
      <c r="AE769" s="66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71"/>
      <c r="T770" s="62"/>
      <c r="U770" s="65"/>
      <c r="V770" s="65"/>
      <c r="W770" s="66"/>
      <c r="X770" s="66"/>
      <c r="Y770" s="66"/>
      <c r="Z770" s="66"/>
      <c r="AA770" s="66"/>
      <c r="AB770" s="66"/>
      <c r="AC770" s="66"/>
      <c r="AD770" s="66"/>
      <c r="AE770" s="66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71"/>
      <c r="T771" s="62"/>
      <c r="U771" s="65"/>
      <c r="V771" s="65"/>
      <c r="W771" s="66"/>
      <c r="X771" s="66"/>
      <c r="Y771" s="66"/>
      <c r="Z771" s="66"/>
      <c r="AA771" s="66"/>
      <c r="AB771" s="66"/>
      <c r="AC771" s="66"/>
      <c r="AD771" s="66"/>
      <c r="AE771" s="66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71"/>
      <c r="T772" s="62"/>
      <c r="U772" s="65"/>
      <c r="V772" s="65"/>
      <c r="W772" s="66"/>
      <c r="X772" s="66"/>
      <c r="Y772" s="66"/>
      <c r="Z772" s="66"/>
      <c r="AA772" s="66"/>
      <c r="AB772" s="66"/>
      <c r="AC772" s="66"/>
      <c r="AD772" s="66"/>
      <c r="AE772" s="66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71"/>
      <c r="T773" s="62"/>
      <c r="U773" s="65"/>
      <c r="V773" s="65"/>
      <c r="W773" s="66"/>
      <c r="X773" s="66"/>
      <c r="Y773" s="66"/>
      <c r="Z773" s="66"/>
      <c r="AA773" s="66"/>
      <c r="AB773" s="66"/>
      <c r="AC773" s="66"/>
      <c r="AD773" s="66"/>
      <c r="AE773" s="66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71"/>
      <c r="T774" s="62"/>
      <c r="U774" s="65"/>
      <c r="V774" s="65"/>
      <c r="W774" s="66"/>
      <c r="X774" s="66"/>
      <c r="Y774" s="66"/>
      <c r="Z774" s="66"/>
      <c r="AA774" s="66"/>
      <c r="AB774" s="66"/>
      <c r="AC774" s="66"/>
      <c r="AD774" s="66"/>
      <c r="AE774" s="66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71"/>
      <c r="T775" s="62"/>
      <c r="U775" s="65"/>
      <c r="V775" s="65"/>
      <c r="W775" s="66"/>
      <c r="X775" s="66"/>
      <c r="Y775" s="66"/>
      <c r="Z775" s="66"/>
      <c r="AA775" s="66"/>
      <c r="AB775" s="66"/>
      <c r="AC775" s="66"/>
      <c r="AD775" s="66"/>
      <c r="AE775" s="66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71"/>
      <c r="T776" s="62"/>
      <c r="U776" s="65"/>
      <c r="V776" s="65"/>
      <c r="W776" s="66"/>
      <c r="X776" s="66"/>
      <c r="Y776" s="66"/>
      <c r="Z776" s="66"/>
      <c r="AA776" s="66"/>
      <c r="AB776" s="66"/>
      <c r="AC776" s="66"/>
      <c r="AD776" s="66"/>
      <c r="AE776" s="66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71"/>
      <c r="T777" s="62"/>
      <c r="U777" s="65"/>
      <c r="V777" s="65"/>
      <c r="W777" s="66"/>
      <c r="X777" s="66"/>
      <c r="Y777" s="66"/>
      <c r="Z777" s="66"/>
      <c r="AA777" s="66"/>
      <c r="AB777" s="66"/>
      <c r="AC777" s="66"/>
      <c r="AD777" s="66"/>
      <c r="AE777" s="66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71"/>
      <c r="T778" s="62"/>
      <c r="U778" s="65"/>
      <c r="V778" s="65"/>
      <c r="W778" s="66"/>
      <c r="X778" s="66"/>
      <c r="Y778" s="66"/>
      <c r="Z778" s="66"/>
      <c r="AA778" s="66"/>
      <c r="AB778" s="66"/>
      <c r="AC778" s="66"/>
      <c r="AD778" s="66"/>
      <c r="AE778" s="66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71"/>
      <c r="T779" s="62"/>
      <c r="U779" s="65"/>
      <c r="V779" s="65"/>
      <c r="W779" s="66"/>
      <c r="X779" s="66"/>
      <c r="Y779" s="66"/>
      <c r="Z779" s="66"/>
      <c r="AA779" s="66"/>
      <c r="AB779" s="66"/>
      <c r="AC779" s="66"/>
      <c r="AD779" s="66"/>
      <c r="AE779" s="66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71"/>
      <c r="T780" s="62"/>
      <c r="U780" s="65"/>
      <c r="V780" s="65"/>
      <c r="W780" s="66"/>
      <c r="X780" s="66"/>
      <c r="Y780" s="66"/>
      <c r="Z780" s="66"/>
      <c r="AA780" s="66"/>
      <c r="AB780" s="66"/>
      <c r="AC780" s="66"/>
      <c r="AD780" s="66"/>
      <c r="AE780" s="66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71"/>
      <c r="T781" s="62"/>
      <c r="U781" s="65"/>
      <c r="V781" s="65"/>
      <c r="W781" s="66"/>
      <c r="X781" s="66"/>
      <c r="Y781" s="66"/>
      <c r="Z781" s="66"/>
      <c r="AA781" s="66"/>
      <c r="AB781" s="66"/>
      <c r="AC781" s="66"/>
      <c r="AD781" s="66"/>
      <c r="AE781" s="66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71"/>
      <c r="T782" s="62"/>
      <c r="U782" s="65"/>
      <c r="V782" s="65"/>
      <c r="W782" s="66"/>
      <c r="X782" s="66"/>
      <c r="Y782" s="66"/>
      <c r="Z782" s="66"/>
      <c r="AA782" s="66"/>
      <c r="AB782" s="66"/>
      <c r="AC782" s="66"/>
      <c r="AD782" s="66"/>
      <c r="AE782" s="66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71"/>
      <c r="T783" s="62"/>
      <c r="U783" s="65"/>
      <c r="V783" s="65"/>
      <c r="W783" s="66"/>
      <c r="X783" s="66"/>
      <c r="Y783" s="66"/>
      <c r="Z783" s="66"/>
      <c r="AA783" s="66"/>
      <c r="AB783" s="66"/>
      <c r="AC783" s="66"/>
      <c r="AD783" s="66"/>
      <c r="AE783" s="66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71"/>
      <c r="T784" s="62"/>
      <c r="U784" s="65"/>
      <c r="V784" s="65"/>
      <c r="W784" s="66"/>
      <c r="X784" s="66"/>
      <c r="Y784" s="66"/>
      <c r="Z784" s="66"/>
      <c r="AA784" s="66"/>
      <c r="AB784" s="66"/>
      <c r="AC784" s="66"/>
      <c r="AD784" s="66"/>
      <c r="AE784" s="66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71"/>
      <c r="T785" s="62"/>
      <c r="U785" s="65"/>
      <c r="V785" s="65"/>
      <c r="W785" s="66"/>
      <c r="X785" s="66"/>
      <c r="Y785" s="66"/>
      <c r="Z785" s="66"/>
      <c r="AA785" s="66"/>
      <c r="AB785" s="66"/>
      <c r="AC785" s="66"/>
      <c r="AD785" s="66"/>
      <c r="AE785" s="66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71"/>
      <c r="T786" s="62"/>
      <c r="U786" s="65"/>
      <c r="V786" s="65"/>
      <c r="W786" s="66"/>
      <c r="X786" s="66"/>
      <c r="Y786" s="66"/>
      <c r="Z786" s="66"/>
      <c r="AA786" s="66"/>
      <c r="AB786" s="66"/>
      <c r="AC786" s="66"/>
      <c r="AD786" s="66"/>
      <c r="AE786" s="66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71"/>
      <c r="T787" s="62"/>
      <c r="U787" s="65"/>
      <c r="V787" s="65"/>
      <c r="W787" s="66"/>
      <c r="X787" s="66"/>
      <c r="Y787" s="66"/>
      <c r="Z787" s="66"/>
      <c r="AA787" s="66"/>
      <c r="AB787" s="66"/>
      <c r="AC787" s="66"/>
      <c r="AD787" s="66"/>
      <c r="AE787" s="66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71"/>
      <c r="T788" s="62"/>
      <c r="U788" s="65"/>
      <c r="V788" s="65"/>
      <c r="W788" s="66"/>
      <c r="X788" s="66"/>
      <c r="Y788" s="66"/>
      <c r="Z788" s="66"/>
      <c r="AA788" s="66"/>
      <c r="AB788" s="66"/>
      <c r="AC788" s="66"/>
      <c r="AD788" s="66"/>
      <c r="AE788" s="66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71"/>
      <c r="T789" s="62"/>
      <c r="U789" s="65"/>
      <c r="V789" s="65"/>
      <c r="W789" s="66"/>
      <c r="X789" s="66"/>
      <c r="Y789" s="66"/>
      <c r="Z789" s="66"/>
      <c r="AA789" s="66"/>
      <c r="AB789" s="66"/>
      <c r="AC789" s="66"/>
      <c r="AD789" s="66"/>
      <c r="AE789" s="66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71"/>
      <c r="T790" s="62"/>
      <c r="U790" s="65"/>
      <c r="V790" s="65"/>
      <c r="W790" s="66"/>
      <c r="X790" s="66"/>
      <c r="Y790" s="66"/>
      <c r="Z790" s="66"/>
      <c r="AA790" s="66"/>
      <c r="AB790" s="66"/>
      <c r="AC790" s="66"/>
      <c r="AD790" s="66"/>
      <c r="AE790" s="66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71"/>
      <c r="T791" s="62"/>
      <c r="U791" s="65"/>
      <c r="V791" s="65"/>
      <c r="W791" s="66"/>
      <c r="X791" s="66"/>
      <c r="Y791" s="66"/>
      <c r="Z791" s="66"/>
      <c r="AA791" s="66"/>
      <c r="AB791" s="66"/>
      <c r="AC791" s="66"/>
      <c r="AD791" s="66"/>
      <c r="AE791" s="66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71"/>
      <c r="T792" s="62"/>
      <c r="U792" s="65"/>
      <c r="V792" s="65"/>
      <c r="W792" s="66"/>
      <c r="X792" s="66"/>
      <c r="Y792" s="66"/>
      <c r="Z792" s="66"/>
      <c r="AA792" s="66"/>
      <c r="AB792" s="66"/>
      <c r="AC792" s="66"/>
      <c r="AD792" s="66"/>
      <c r="AE792" s="66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71"/>
      <c r="T793" s="62"/>
      <c r="U793" s="65"/>
      <c r="V793" s="65"/>
      <c r="W793" s="66"/>
      <c r="X793" s="66"/>
      <c r="Y793" s="66"/>
      <c r="Z793" s="66"/>
      <c r="AA793" s="66"/>
      <c r="AB793" s="66"/>
      <c r="AC793" s="66"/>
      <c r="AD793" s="66"/>
      <c r="AE793" s="66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71"/>
      <c r="T794" s="62"/>
      <c r="U794" s="65"/>
      <c r="V794" s="65"/>
      <c r="W794" s="66"/>
      <c r="X794" s="66"/>
      <c r="Y794" s="66"/>
      <c r="Z794" s="66"/>
      <c r="AA794" s="66"/>
      <c r="AB794" s="66"/>
      <c r="AC794" s="66"/>
      <c r="AD794" s="66"/>
      <c r="AE794" s="66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71"/>
      <c r="T795" s="62"/>
      <c r="U795" s="65"/>
      <c r="V795" s="65"/>
      <c r="W795" s="66"/>
      <c r="X795" s="66"/>
      <c r="Y795" s="66"/>
      <c r="Z795" s="66"/>
      <c r="AA795" s="66"/>
      <c r="AB795" s="66"/>
      <c r="AC795" s="66"/>
      <c r="AD795" s="66"/>
      <c r="AE795" s="66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71"/>
      <c r="T796" s="62"/>
      <c r="U796" s="65"/>
      <c r="V796" s="65"/>
      <c r="W796" s="66"/>
      <c r="X796" s="66"/>
      <c r="Y796" s="66"/>
      <c r="Z796" s="66"/>
      <c r="AA796" s="66"/>
      <c r="AB796" s="66"/>
      <c r="AC796" s="66"/>
      <c r="AD796" s="66"/>
      <c r="AE796" s="66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71"/>
      <c r="T797" s="62"/>
      <c r="U797" s="65"/>
      <c r="V797" s="65"/>
      <c r="W797" s="66"/>
      <c r="X797" s="66"/>
      <c r="Y797" s="66"/>
      <c r="Z797" s="66"/>
      <c r="AA797" s="66"/>
      <c r="AB797" s="66"/>
      <c r="AC797" s="66"/>
      <c r="AD797" s="66"/>
      <c r="AE797" s="66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71"/>
      <c r="T798" s="62"/>
      <c r="U798" s="65"/>
      <c r="V798" s="65"/>
      <c r="W798" s="66"/>
      <c r="X798" s="66"/>
      <c r="Y798" s="66"/>
      <c r="Z798" s="66"/>
      <c r="AA798" s="66"/>
      <c r="AB798" s="66"/>
      <c r="AC798" s="66"/>
      <c r="AD798" s="66"/>
      <c r="AE798" s="66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71"/>
      <c r="T799" s="62"/>
      <c r="U799" s="65"/>
      <c r="V799" s="65"/>
      <c r="W799" s="66"/>
      <c r="X799" s="66"/>
      <c r="Y799" s="66"/>
      <c r="Z799" s="66"/>
      <c r="AA799" s="66"/>
      <c r="AB799" s="66"/>
      <c r="AC799" s="66"/>
      <c r="AD799" s="66"/>
      <c r="AE799" s="66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71"/>
      <c r="T800" s="62"/>
      <c r="U800" s="65"/>
      <c r="V800" s="65"/>
      <c r="W800" s="66"/>
      <c r="X800" s="66"/>
      <c r="Y800" s="66"/>
      <c r="Z800" s="66"/>
      <c r="AA800" s="66"/>
      <c r="AB800" s="66"/>
      <c r="AC800" s="66"/>
      <c r="AD800" s="66"/>
      <c r="AE800" s="66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71"/>
      <c r="T801" s="62"/>
      <c r="U801" s="65"/>
      <c r="V801" s="65"/>
      <c r="W801" s="66"/>
      <c r="X801" s="66"/>
      <c r="Y801" s="66"/>
      <c r="Z801" s="66"/>
      <c r="AA801" s="66"/>
      <c r="AB801" s="66"/>
      <c r="AC801" s="66"/>
      <c r="AD801" s="66"/>
      <c r="AE801" s="66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71"/>
      <c r="T802" s="62"/>
      <c r="U802" s="65"/>
      <c r="V802" s="65"/>
      <c r="W802" s="66"/>
      <c r="X802" s="66"/>
      <c r="Y802" s="66"/>
      <c r="Z802" s="66"/>
      <c r="AA802" s="66"/>
      <c r="AB802" s="66"/>
      <c r="AC802" s="66"/>
      <c r="AD802" s="66"/>
      <c r="AE802" s="66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71"/>
      <c r="T803" s="62"/>
      <c r="U803" s="65"/>
      <c r="V803" s="65"/>
      <c r="W803" s="66"/>
      <c r="X803" s="66"/>
      <c r="Y803" s="66"/>
      <c r="Z803" s="66"/>
      <c r="AA803" s="66"/>
      <c r="AB803" s="66"/>
      <c r="AC803" s="66"/>
      <c r="AD803" s="66"/>
      <c r="AE803" s="66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71"/>
      <c r="T804" s="62"/>
      <c r="U804" s="65"/>
      <c r="V804" s="65"/>
      <c r="W804" s="66"/>
      <c r="X804" s="66"/>
      <c r="Y804" s="66"/>
      <c r="Z804" s="66"/>
      <c r="AA804" s="66"/>
      <c r="AB804" s="66"/>
      <c r="AC804" s="66"/>
      <c r="AD804" s="66"/>
      <c r="AE804" s="66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71"/>
      <c r="T805" s="62"/>
      <c r="U805" s="65"/>
      <c r="V805" s="65"/>
      <c r="W805" s="66"/>
      <c r="X805" s="66"/>
      <c r="Y805" s="66"/>
      <c r="Z805" s="66"/>
      <c r="AA805" s="66"/>
      <c r="AB805" s="66"/>
      <c r="AC805" s="66"/>
      <c r="AD805" s="66"/>
      <c r="AE805" s="66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71"/>
      <c r="T806" s="62"/>
      <c r="U806" s="65"/>
      <c r="V806" s="65"/>
      <c r="W806" s="66"/>
      <c r="X806" s="66"/>
      <c r="Y806" s="66"/>
      <c r="Z806" s="66"/>
      <c r="AA806" s="66"/>
      <c r="AB806" s="66"/>
      <c r="AC806" s="66"/>
      <c r="AD806" s="66"/>
      <c r="AE806" s="66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71"/>
      <c r="T807" s="62"/>
      <c r="U807" s="65"/>
      <c r="V807" s="65"/>
      <c r="W807" s="66"/>
      <c r="X807" s="66"/>
      <c r="Y807" s="66"/>
      <c r="Z807" s="66"/>
      <c r="AA807" s="66"/>
      <c r="AB807" s="66"/>
      <c r="AC807" s="66"/>
      <c r="AD807" s="66"/>
      <c r="AE807" s="66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71"/>
      <c r="T808" s="62"/>
      <c r="U808" s="65"/>
      <c r="V808" s="65"/>
      <c r="W808" s="66"/>
      <c r="X808" s="66"/>
      <c r="Y808" s="66"/>
      <c r="Z808" s="66"/>
      <c r="AA808" s="66"/>
      <c r="AB808" s="66"/>
      <c r="AC808" s="66"/>
      <c r="AD808" s="66"/>
      <c r="AE808" s="66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71"/>
      <c r="T809" s="62"/>
      <c r="U809" s="65"/>
      <c r="V809" s="65"/>
      <c r="W809" s="66"/>
      <c r="X809" s="66"/>
      <c r="Y809" s="66"/>
      <c r="Z809" s="66"/>
      <c r="AA809" s="66"/>
      <c r="AB809" s="66"/>
      <c r="AC809" s="66"/>
      <c r="AD809" s="66"/>
      <c r="AE809" s="66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71"/>
      <c r="T810" s="62"/>
      <c r="U810" s="65"/>
      <c r="V810" s="65"/>
      <c r="W810" s="66"/>
      <c r="X810" s="66"/>
      <c r="Y810" s="66"/>
      <c r="Z810" s="66"/>
      <c r="AA810" s="66"/>
      <c r="AB810" s="66"/>
      <c r="AC810" s="66"/>
      <c r="AD810" s="66"/>
      <c r="AE810" s="66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71"/>
      <c r="T811" s="62"/>
      <c r="U811" s="65"/>
      <c r="V811" s="65"/>
      <c r="W811" s="66"/>
      <c r="X811" s="66"/>
      <c r="Y811" s="66"/>
      <c r="Z811" s="66"/>
      <c r="AA811" s="66"/>
      <c r="AB811" s="66"/>
      <c r="AC811" s="66"/>
      <c r="AD811" s="66"/>
      <c r="AE811" s="66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71"/>
      <c r="T812" s="62"/>
      <c r="U812" s="65"/>
      <c r="V812" s="65"/>
      <c r="W812" s="66"/>
      <c r="X812" s="66"/>
      <c r="Y812" s="66"/>
      <c r="Z812" s="66"/>
      <c r="AA812" s="66"/>
      <c r="AB812" s="66"/>
      <c r="AC812" s="66"/>
      <c r="AD812" s="66"/>
      <c r="AE812" s="66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71"/>
      <c r="T813" s="62"/>
      <c r="U813" s="65"/>
      <c r="V813" s="65"/>
      <c r="W813" s="66"/>
      <c r="X813" s="66"/>
      <c r="Y813" s="66"/>
      <c r="Z813" s="66"/>
      <c r="AA813" s="66"/>
      <c r="AB813" s="66"/>
      <c r="AC813" s="66"/>
      <c r="AD813" s="66"/>
      <c r="AE813" s="66"/>
    </row>
  </sheetData>
  <hyperlinks>
    <hyperlink r:id="rId1" ref="G4"/>
    <hyperlink r:id="rId2" ref="G6"/>
    <hyperlink r:id="rId3" ref="G8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30.63"/>
    <col customWidth="1" min="3" max="3" width="9.25"/>
    <col customWidth="1" min="4" max="4" width="19.63"/>
    <col customWidth="1" min="5" max="5" width="20.0"/>
    <col customWidth="1" min="6" max="6" width="19.13"/>
    <col customWidth="1" min="7" max="7" width="17.75"/>
    <col customWidth="1" min="8" max="8" width="17.38"/>
    <col customWidth="1" min="9" max="9" width="9.75"/>
    <col customWidth="1" min="10" max="10" width="15.5"/>
  </cols>
  <sheetData>
    <row r="1">
      <c r="A1" s="72" t="s">
        <v>951</v>
      </c>
      <c r="B1" s="73" t="s">
        <v>1</v>
      </c>
      <c r="C1" s="74" t="s">
        <v>2</v>
      </c>
      <c r="D1" s="75" t="s">
        <v>3</v>
      </c>
      <c r="E1" s="76" t="s">
        <v>952</v>
      </c>
      <c r="F1" s="76" t="s">
        <v>953</v>
      </c>
      <c r="G1" s="77" t="s">
        <v>954</v>
      </c>
      <c r="H1" s="77" t="s">
        <v>955</v>
      </c>
      <c r="I1" s="78" t="s">
        <v>956</v>
      </c>
      <c r="J1" s="79" t="s">
        <v>957</v>
      </c>
    </row>
    <row r="2">
      <c r="A2" s="80">
        <f>IFERROR(__xludf.DUMMYFUNCTION("IMPORTRANGE(""https://docs.google.com/spreadsheets/d/1m8Ywb88fT9bwAMQZK1iM9DhfUv1lWYJhGRSLHH921Bk/edit?gid=1840943663#gid=1840943663"",""Projects!A2:D1000"")"),1.0)</f>
        <v>1</v>
      </c>
      <c r="B2" s="80" t="str">
        <f>IFERROR(__xludf.DUMMYFUNCTION("""COMPUTED_VALUE"""),"BBCL Midland")</f>
        <v>BBCL Midland</v>
      </c>
      <c r="C2" s="81">
        <f>IFERROR(__xludf.DUMMYFUNCTION("""COMPUTED_VALUE"""),50.0)</f>
        <v>50</v>
      </c>
      <c r="D2" s="82" t="str">
        <f>IFERROR(__xludf.DUMMYFUNCTION("""COMPUTED_VALUE"""),"Completed")</f>
        <v>Completed</v>
      </c>
      <c r="E2" s="83">
        <v>0.0</v>
      </c>
      <c r="F2" s="83">
        <v>0.0</v>
      </c>
      <c r="G2" s="84">
        <v>0.0</v>
      </c>
      <c r="H2" s="84">
        <v>0.0</v>
      </c>
      <c r="I2" s="85">
        <v>2022.0</v>
      </c>
      <c r="J2" s="83">
        <v>0.0</v>
      </c>
    </row>
    <row r="3">
      <c r="A3" s="80">
        <f>IFERROR(__xludf.DUMMYFUNCTION("""COMPUTED_VALUE"""),2.0)</f>
        <v>2</v>
      </c>
      <c r="B3" s="80" t="str">
        <f>IFERROR(__xludf.DUMMYFUNCTION("""COMPUTED_VALUE"""),"Zebronics")</f>
        <v>Zebronics</v>
      </c>
      <c r="C3" s="81">
        <f>IFERROR(__xludf.DUMMYFUNCTION("""COMPUTED_VALUE"""),9.9)</f>
        <v>9.9</v>
      </c>
      <c r="D3" s="82" t="str">
        <f>IFERROR(__xludf.DUMMYFUNCTION("""COMPUTED_VALUE"""),"Completed")</f>
        <v>Completed</v>
      </c>
      <c r="E3" s="86"/>
      <c r="F3" s="86"/>
      <c r="G3" s="87"/>
      <c r="H3" s="87"/>
      <c r="I3" s="85">
        <v>2023.0</v>
      </c>
      <c r="J3" s="86"/>
    </row>
    <row r="4">
      <c r="A4" s="88">
        <f>IFERROR(__xludf.DUMMYFUNCTION("""COMPUTED_VALUE"""),3.0)</f>
        <v>3</v>
      </c>
      <c r="B4" s="80" t="str">
        <f>IFERROR(__xludf.DUMMYFUNCTION("""COMPUTED_VALUE"""),"Dr Sivabalan")</f>
        <v>Dr Sivabalan</v>
      </c>
      <c r="C4" s="89"/>
      <c r="D4" s="82" t="str">
        <f>IFERROR(__xludf.DUMMYFUNCTION("""COMPUTED_VALUE"""),"Completed")</f>
        <v>Completed</v>
      </c>
      <c r="E4" s="86"/>
      <c r="F4" s="86"/>
      <c r="G4" s="87"/>
      <c r="H4" s="87"/>
      <c r="I4" s="85">
        <v>2024.0</v>
      </c>
      <c r="J4" s="86"/>
    </row>
    <row r="5">
      <c r="A5" s="88">
        <f>IFERROR(__xludf.DUMMYFUNCTION("""COMPUTED_VALUE"""),4.0)</f>
        <v>4</v>
      </c>
      <c r="B5" s="80" t="str">
        <f>IFERROR(__xludf.DUMMYFUNCTION("""COMPUTED_VALUE"""),"Indus Allaiance")</f>
        <v>Indus Allaiance</v>
      </c>
      <c r="C5" s="81">
        <f>IFERROR(__xludf.DUMMYFUNCTION("""COMPUTED_VALUE"""),2.0)</f>
        <v>2</v>
      </c>
      <c r="D5" s="82" t="str">
        <f>IFERROR(__xludf.DUMMYFUNCTION("""COMPUTED_VALUE"""),"Completed")</f>
        <v>Completed</v>
      </c>
      <c r="E5" s="86"/>
      <c r="F5" s="86"/>
      <c r="G5" s="87"/>
      <c r="H5" s="87"/>
      <c r="I5" s="85">
        <v>2024.0</v>
      </c>
      <c r="J5" s="86"/>
    </row>
    <row r="6">
      <c r="A6" s="88">
        <f>IFERROR(__xludf.DUMMYFUNCTION("""COMPUTED_VALUE"""),5.0)</f>
        <v>5</v>
      </c>
      <c r="B6" s="80" t="str">
        <f>IFERROR(__xludf.DUMMYFUNCTION("""COMPUTED_VALUE"""),"Mr Srinivasan")</f>
        <v>Mr Srinivasan</v>
      </c>
      <c r="C6" s="81">
        <f>IFERROR(__xludf.DUMMYFUNCTION("""COMPUTED_VALUE"""),9.8)</f>
        <v>9.8</v>
      </c>
      <c r="D6" s="82" t="str">
        <f>IFERROR(__xludf.DUMMYFUNCTION("""COMPUTED_VALUE"""),"Completed")</f>
        <v>Completed</v>
      </c>
      <c r="E6" s="86"/>
      <c r="F6" s="86"/>
      <c r="G6" s="87"/>
      <c r="H6" s="87"/>
      <c r="I6" s="85">
        <v>2024.0</v>
      </c>
      <c r="J6" s="86"/>
    </row>
    <row r="7">
      <c r="A7" s="88">
        <f>IFERROR(__xludf.DUMMYFUNCTION("""COMPUTED_VALUE"""),6.0)</f>
        <v>6</v>
      </c>
      <c r="B7" s="80" t="str">
        <f>IFERROR(__xludf.DUMMYFUNCTION("""COMPUTED_VALUE"""),"Ramaniyam Subham")</f>
        <v>Ramaniyam Subham</v>
      </c>
      <c r="C7" s="81">
        <f>IFERROR(__xludf.DUMMYFUNCTION("""COMPUTED_VALUE"""),2.2)</f>
        <v>2.2</v>
      </c>
      <c r="D7" s="82" t="str">
        <f>IFERROR(__xludf.DUMMYFUNCTION("""COMPUTED_VALUE"""),"Completed")</f>
        <v>Completed</v>
      </c>
      <c r="E7" s="86"/>
      <c r="F7" s="86"/>
      <c r="G7" s="87"/>
      <c r="H7" s="87"/>
      <c r="I7" s="85">
        <v>2024.0</v>
      </c>
      <c r="J7" s="86"/>
    </row>
    <row r="8">
      <c r="A8" s="88">
        <f>IFERROR(__xludf.DUMMYFUNCTION("""COMPUTED_VALUE"""),7.0)</f>
        <v>7</v>
      </c>
      <c r="B8" s="80" t="str">
        <f>IFERROR(__xludf.DUMMYFUNCTION("""COMPUTED_VALUE"""),"Ramaniyam Sasta")</f>
        <v>Ramaniyam Sasta</v>
      </c>
      <c r="C8" s="81">
        <f>IFERROR(__xludf.DUMMYFUNCTION("""COMPUTED_VALUE"""),3.3)</f>
        <v>3.3</v>
      </c>
      <c r="D8" s="82" t="str">
        <f>IFERROR(__xludf.DUMMYFUNCTION("""COMPUTED_VALUE"""),"Completed")</f>
        <v>Completed</v>
      </c>
      <c r="E8" s="86"/>
      <c r="F8" s="86"/>
      <c r="G8" s="87"/>
      <c r="H8" s="87"/>
      <c r="I8" s="85">
        <v>2024.0</v>
      </c>
      <c r="J8" s="86"/>
    </row>
    <row r="9">
      <c r="A9" s="80">
        <f>IFERROR(__xludf.DUMMYFUNCTION("""COMPUTED_VALUE"""),8.0)</f>
        <v>8</v>
      </c>
      <c r="B9" s="80" t="str">
        <f>IFERROR(__xludf.DUMMYFUNCTION("""COMPUTED_VALUE"""),"Ramaniya Syndicate")</f>
        <v>Ramaniya Syndicate</v>
      </c>
      <c r="C9" s="81">
        <f>IFERROR(__xludf.DUMMYFUNCTION("""COMPUTED_VALUE"""),5.4)</f>
        <v>5.4</v>
      </c>
      <c r="D9" s="82" t="str">
        <f>IFERROR(__xludf.DUMMYFUNCTION("""COMPUTED_VALUE"""),"Completed")</f>
        <v>Completed</v>
      </c>
      <c r="E9" s="86"/>
      <c r="F9" s="86"/>
      <c r="G9" s="87"/>
      <c r="H9" s="87"/>
      <c r="I9" s="85">
        <v>2024.0</v>
      </c>
      <c r="J9" s="86"/>
    </row>
    <row r="10">
      <c r="A10" s="80">
        <f>IFERROR(__xludf.DUMMYFUNCTION("""COMPUTED_VALUE"""),9.0)</f>
        <v>9</v>
      </c>
      <c r="B10" s="80" t="str">
        <f>IFERROR(__xludf.DUMMYFUNCTION("""COMPUTED_VALUE"""),"DRA Homes")</f>
        <v>DRA Homes</v>
      </c>
      <c r="C10" s="81">
        <f>IFERROR(__xludf.DUMMYFUNCTION("""COMPUTED_VALUE"""),25.0)</f>
        <v>25</v>
      </c>
      <c r="D10" s="82" t="str">
        <f>IFERROR(__xludf.DUMMYFUNCTION("""COMPUTED_VALUE"""),"Completed")</f>
        <v>Completed</v>
      </c>
      <c r="E10" s="86"/>
      <c r="F10" s="86"/>
      <c r="G10" s="87"/>
      <c r="H10" s="87"/>
      <c r="I10" s="85">
        <v>2024.0</v>
      </c>
      <c r="J10" s="86"/>
    </row>
    <row r="11">
      <c r="A11" s="88">
        <f>IFERROR(__xludf.DUMMYFUNCTION("""COMPUTED_VALUE"""),10.0)</f>
        <v>10</v>
      </c>
      <c r="B11" s="80" t="str">
        <f>IFERROR(__xludf.DUMMYFUNCTION("""COMPUTED_VALUE"""),"Mr Rajesh")</f>
        <v>Mr Rajesh</v>
      </c>
      <c r="C11" s="81">
        <f>IFERROR(__xludf.DUMMYFUNCTION("""COMPUTED_VALUE"""),10.0)</f>
        <v>10</v>
      </c>
      <c r="D11" s="82" t="str">
        <f>IFERROR(__xludf.DUMMYFUNCTION("""COMPUTED_VALUE"""),"Completed")</f>
        <v>Completed</v>
      </c>
      <c r="E11" s="86"/>
      <c r="F11" s="86"/>
      <c r="G11" s="87"/>
      <c r="H11" s="87"/>
      <c r="I11" s="85">
        <v>2024.0</v>
      </c>
      <c r="J11" s="86"/>
    </row>
    <row r="12">
      <c r="A12" s="88">
        <f>IFERROR(__xludf.DUMMYFUNCTION("""COMPUTED_VALUE"""),11.0)</f>
        <v>11</v>
      </c>
      <c r="B12" s="80" t="str">
        <f>IFERROR(__xludf.DUMMYFUNCTION("""COMPUTED_VALUE"""),"Dr Sridhar")</f>
        <v>Dr Sridhar</v>
      </c>
      <c r="C12" s="81">
        <f>IFERROR(__xludf.DUMMYFUNCTION("""COMPUTED_VALUE"""),7.0)</f>
        <v>7</v>
      </c>
      <c r="D12" s="82" t="str">
        <f>IFERROR(__xludf.DUMMYFUNCTION("""COMPUTED_VALUE"""),"Completed")</f>
        <v>Completed</v>
      </c>
      <c r="E12" s="86"/>
      <c r="F12" s="86"/>
      <c r="G12" s="87"/>
      <c r="H12" s="87"/>
      <c r="I12" s="85">
        <v>2024.0</v>
      </c>
      <c r="J12" s="86"/>
    </row>
    <row r="13">
      <c r="A13" s="80">
        <f>IFERROR(__xludf.DUMMYFUNCTION("""COMPUTED_VALUE"""),12.0)</f>
        <v>12</v>
      </c>
      <c r="B13" s="80" t="str">
        <f>IFERROR(__xludf.DUMMYFUNCTION("""COMPUTED_VALUE"""),"Mr Varun")</f>
        <v>Mr Varun</v>
      </c>
      <c r="C13" s="81">
        <f>IFERROR(__xludf.DUMMYFUNCTION("""COMPUTED_VALUE"""),4.32)</f>
        <v>4.32</v>
      </c>
      <c r="D13" s="82" t="str">
        <f>IFERROR(__xludf.DUMMYFUNCTION("""COMPUTED_VALUE"""),"Completed")</f>
        <v>Completed</v>
      </c>
      <c r="E13" s="86"/>
      <c r="F13" s="86"/>
      <c r="G13" s="87"/>
      <c r="H13" s="87"/>
      <c r="I13" s="85">
        <v>2024.0</v>
      </c>
      <c r="J13" s="86"/>
    </row>
    <row r="14">
      <c r="A14" s="80">
        <f>IFERROR(__xludf.DUMMYFUNCTION("""COMPUTED_VALUE"""),13.0)</f>
        <v>13</v>
      </c>
      <c r="B14" s="80" t="str">
        <f>IFERROR(__xludf.DUMMYFUNCTION("""COMPUTED_VALUE"""),"Mr Muthu")</f>
        <v>Mr Muthu</v>
      </c>
      <c r="C14" s="81">
        <f>IFERROR(__xludf.DUMMYFUNCTION("""COMPUTED_VALUE"""),10.0)</f>
        <v>10</v>
      </c>
      <c r="D14" s="82" t="str">
        <f>IFERROR(__xludf.DUMMYFUNCTION("""COMPUTED_VALUE"""),"Completed")</f>
        <v>Completed</v>
      </c>
      <c r="E14" s="86"/>
      <c r="F14" s="86"/>
      <c r="G14" s="87"/>
      <c r="H14" s="87"/>
      <c r="I14" s="85">
        <v>2024.0</v>
      </c>
      <c r="J14" s="86"/>
    </row>
    <row r="15">
      <c r="A15" s="88">
        <f>IFERROR(__xludf.DUMMYFUNCTION("""COMPUTED_VALUE"""),14.0)</f>
        <v>14</v>
      </c>
      <c r="B15" s="80" t="str">
        <f>IFERROR(__xludf.DUMMYFUNCTION("""COMPUTED_VALUE"""),"Lancor TCP Altura")</f>
        <v>Lancor TCP Altura</v>
      </c>
      <c r="C15" s="81">
        <f>IFERROR(__xludf.DUMMYFUNCTION("""COMPUTED_VALUE"""),20.0)</f>
        <v>20</v>
      </c>
      <c r="D15" s="82" t="str">
        <f>IFERROR(__xludf.DUMMYFUNCTION("""COMPUTED_VALUE"""),"Completed")</f>
        <v>Completed</v>
      </c>
      <c r="E15" s="86"/>
      <c r="F15" s="86"/>
      <c r="G15" s="87"/>
      <c r="H15" s="87"/>
      <c r="I15" s="85">
        <v>2024.0</v>
      </c>
      <c r="J15" s="86"/>
    </row>
    <row r="16">
      <c r="A16" s="88">
        <f>IFERROR(__xludf.DUMMYFUNCTION("""COMPUTED_VALUE"""),15.0)</f>
        <v>15</v>
      </c>
      <c r="B16" s="80" t="str">
        <f>IFERROR(__xludf.DUMMYFUNCTION("""COMPUTED_VALUE"""),"Sribalaji Lancor")</f>
        <v>Sribalaji Lancor</v>
      </c>
      <c r="C16" s="81">
        <f>IFERROR(__xludf.DUMMYFUNCTION("""COMPUTED_VALUE"""),4.69)</f>
        <v>4.69</v>
      </c>
      <c r="D16" s="82" t="str">
        <f>IFERROR(__xludf.DUMMYFUNCTION("""COMPUTED_VALUE"""),"Completed")</f>
        <v>Completed</v>
      </c>
      <c r="E16" s="86"/>
      <c r="F16" s="86"/>
      <c r="G16" s="87"/>
      <c r="H16" s="87"/>
      <c r="I16" s="85">
        <v>2024.0</v>
      </c>
      <c r="J16" s="86"/>
    </row>
    <row r="17">
      <c r="A17" s="88">
        <f>IFERROR(__xludf.DUMMYFUNCTION("""COMPUTED_VALUE"""),16.0)</f>
        <v>16</v>
      </c>
      <c r="B17" s="80" t="str">
        <f>IFERROR(__xludf.DUMMYFUNCTION("""COMPUTED_VALUE"""),"L&amp;T")</f>
        <v>L&amp;T</v>
      </c>
      <c r="C17" s="81">
        <f>IFERROR(__xludf.DUMMYFUNCTION("""COMPUTED_VALUE"""),7.7)</f>
        <v>7.7</v>
      </c>
      <c r="D17" s="82" t="str">
        <f>IFERROR(__xludf.DUMMYFUNCTION("""COMPUTED_VALUE"""),"Completed")</f>
        <v>Completed</v>
      </c>
      <c r="E17" s="86"/>
      <c r="F17" s="86"/>
      <c r="G17" s="87"/>
      <c r="H17" s="87"/>
      <c r="I17" s="85">
        <v>2024.0</v>
      </c>
      <c r="J17" s="86"/>
    </row>
    <row r="18">
      <c r="A18" s="88">
        <f>IFERROR(__xludf.DUMMYFUNCTION("""COMPUTED_VALUE"""),17.0)</f>
        <v>17</v>
      </c>
      <c r="B18" s="80" t="str">
        <f>IFERROR(__xludf.DUMMYFUNCTION("""COMPUTED_VALUE"""),"Navins Hanging Garden")</f>
        <v>Navins Hanging Garden</v>
      </c>
      <c r="C18" s="81">
        <f>IFERROR(__xludf.DUMMYFUNCTION("""COMPUTED_VALUE"""),25.85)</f>
        <v>25.85</v>
      </c>
      <c r="D18" s="82" t="str">
        <f>IFERROR(__xludf.DUMMYFUNCTION("""COMPUTED_VALUE"""),"Completed")</f>
        <v>Completed</v>
      </c>
      <c r="E18" s="86"/>
      <c r="F18" s="86"/>
      <c r="G18" s="87"/>
      <c r="H18" s="87"/>
      <c r="I18" s="85">
        <v>2024.0</v>
      </c>
      <c r="J18" s="86"/>
    </row>
    <row r="19">
      <c r="A19" s="88">
        <f>IFERROR(__xludf.DUMMYFUNCTION("""COMPUTED_VALUE"""),18.0)</f>
        <v>18</v>
      </c>
      <c r="B19" s="80" t="str">
        <f>IFERROR(__xludf.DUMMYFUNCTION("""COMPUTED_VALUE"""),"Ramaniyam Senate")</f>
        <v>Ramaniyam Senate</v>
      </c>
      <c r="C19" s="81">
        <f>IFERROR(__xludf.DUMMYFUNCTION("""COMPUTED_VALUE"""),6.6)</f>
        <v>6.6</v>
      </c>
      <c r="D19" s="82" t="str">
        <f>IFERROR(__xludf.DUMMYFUNCTION("""COMPUTED_VALUE"""),"Completed")</f>
        <v>Completed</v>
      </c>
      <c r="E19" s="86"/>
      <c r="F19" s="86"/>
      <c r="G19" s="87"/>
      <c r="H19" s="87"/>
      <c r="I19" s="85">
        <v>2024.0</v>
      </c>
      <c r="J19" s="86"/>
    </row>
    <row r="20">
      <c r="A20" s="80">
        <f>IFERROR(__xludf.DUMMYFUNCTION("""COMPUTED_VALUE"""),19.0)</f>
        <v>19</v>
      </c>
      <c r="B20" s="80" t="str">
        <f>IFERROR(__xludf.DUMMYFUNCTION("""COMPUTED_VALUE"""),"Ramaniyam Kalpataru")</f>
        <v>Ramaniyam Kalpataru</v>
      </c>
      <c r="C20" s="81">
        <f>IFERROR(__xludf.DUMMYFUNCTION("""COMPUTED_VALUE"""),3.2)</f>
        <v>3.2</v>
      </c>
      <c r="D20" s="82" t="str">
        <f>IFERROR(__xludf.DUMMYFUNCTION("""COMPUTED_VALUE"""),"Completed")</f>
        <v>Completed</v>
      </c>
      <c r="E20" s="86"/>
      <c r="F20" s="86"/>
      <c r="G20" s="87"/>
      <c r="H20" s="87"/>
      <c r="I20" s="85">
        <v>2024.0</v>
      </c>
      <c r="J20" s="86"/>
    </row>
    <row r="21">
      <c r="A21" s="80">
        <f>IFERROR(__xludf.DUMMYFUNCTION("""COMPUTED_VALUE"""),20.0)</f>
        <v>20</v>
      </c>
      <c r="B21" s="80" t="str">
        <f>IFERROR(__xludf.DUMMYFUNCTION("""COMPUTED_VALUE"""),"SSBPL KS Avanue")</f>
        <v>SSBPL KS Avanue</v>
      </c>
      <c r="C21" s="81">
        <f>IFERROR(__xludf.DUMMYFUNCTION("""COMPUTED_VALUE"""),4.0)</f>
        <v>4</v>
      </c>
      <c r="D21" s="82" t="str">
        <f>IFERROR(__xludf.DUMMYFUNCTION("""COMPUTED_VALUE"""),"Completed")</f>
        <v>Completed</v>
      </c>
      <c r="E21" s="86"/>
      <c r="F21" s="86"/>
      <c r="G21" s="87"/>
      <c r="H21" s="87"/>
      <c r="I21" s="85">
        <v>2024.0</v>
      </c>
      <c r="J21" s="86"/>
    </row>
    <row r="22">
      <c r="A22" s="88">
        <f>IFERROR(__xludf.DUMMYFUNCTION("""COMPUTED_VALUE"""),21.0)</f>
        <v>21</v>
      </c>
      <c r="B22" s="80" t="str">
        <f>IFERROR(__xludf.DUMMYFUNCTION("""COMPUTED_VALUE"""),"Chettinad Hospital")</f>
        <v>Chettinad Hospital</v>
      </c>
      <c r="C22" s="81">
        <f>IFERROR(__xludf.DUMMYFUNCTION("""COMPUTED_VALUE"""),60.0)</f>
        <v>60</v>
      </c>
      <c r="D22" s="82" t="str">
        <f>IFERROR(__xludf.DUMMYFUNCTION("""COMPUTED_VALUE"""),"Completed")</f>
        <v>Completed</v>
      </c>
      <c r="E22" s="86"/>
      <c r="F22" s="86"/>
      <c r="G22" s="87"/>
      <c r="H22" s="87"/>
      <c r="I22" s="85">
        <v>2024.0</v>
      </c>
      <c r="J22" s="86"/>
    </row>
    <row r="23">
      <c r="A23" s="88">
        <f>IFERROR(__xludf.DUMMYFUNCTION("""COMPUTED_VALUE"""),22.0)</f>
        <v>22</v>
      </c>
      <c r="B23" s="80" t="str">
        <f>IFERROR(__xludf.DUMMYFUNCTION("""COMPUTED_VALUE"""),"Hari Shree Senior School")</f>
        <v>Hari Shree Senior School</v>
      </c>
      <c r="C23" s="81">
        <f>IFERROR(__xludf.DUMMYFUNCTION("""COMPUTED_VALUE"""),81.0)</f>
        <v>81</v>
      </c>
      <c r="D23" s="82" t="str">
        <f>IFERROR(__xludf.DUMMYFUNCTION("""COMPUTED_VALUE"""),"Completed")</f>
        <v>Completed</v>
      </c>
      <c r="E23" s="86"/>
      <c r="F23" s="86"/>
      <c r="G23" s="87"/>
      <c r="H23" s="87"/>
      <c r="I23" s="85">
        <v>2024.0</v>
      </c>
      <c r="J23" s="86"/>
    </row>
    <row r="24">
      <c r="A24" s="80">
        <f>IFERROR(__xludf.DUMMYFUNCTION("""COMPUTED_VALUE"""),23.0)</f>
        <v>23</v>
      </c>
      <c r="B24" s="80" t="str">
        <f>IFERROR(__xludf.DUMMYFUNCTION("""COMPUTED_VALUE"""),"Hari Shree Junior School")</f>
        <v>Hari Shree Junior School</v>
      </c>
      <c r="C24" s="81">
        <f>IFERROR(__xludf.DUMMYFUNCTION("""COMPUTED_VALUE"""),9.9)</f>
        <v>9.9</v>
      </c>
      <c r="D24" s="82" t="str">
        <f>IFERROR(__xludf.DUMMYFUNCTION("""COMPUTED_VALUE"""),"Completed")</f>
        <v>Completed</v>
      </c>
      <c r="E24" s="86"/>
      <c r="F24" s="86"/>
      <c r="G24" s="87"/>
      <c r="H24" s="87"/>
      <c r="I24" s="85">
        <v>2024.0</v>
      </c>
      <c r="J24" s="86"/>
    </row>
    <row r="25">
      <c r="A25" s="80">
        <f>IFERROR(__xludf.DUMMYFUNCTION("""COMPUTED_VALUE"""),24.0)</f>
        <v>24</v>
      </c>
      <c r="B25" s="80" t="str">
        <f>IFERROR(__xludf.DUMMYFUNCTION("""COMPUTED_VALUE"""),"Ceebros boulevard")</f>
        <v>Ceebros boulevard</v>
      </c>
      <c r="C25" s="81">
        <f>IFERROR(__xludf.DUMMYFUNCTION("""COMPUTED_VALUE"""),82.0)</f>
        <v>82</v>
      </c>
      <c r="D25" s="82" t="str">
        <f>IFERROR(__xludf.DUMMYFUNCTION("""COMPUTED_VALUE"""),"Completed")</f>
        <v>Completed</v>
      </c>
      <c r="E25" s="86"/>
      <c r="F25" s="86"/>
      <c r="G25" s="87"/>
      <c r="H25" s="87"/>
      <c r="I25" s="85">
        <v>2024.0</v>
      </c>
      <c r="J25" s="86"/>
    </row>
    <row r="26">
      <c r="A26" s="88">
        <f>IFERROR(__xludf.DUMMYFUNCTION("""COMPUTED_VALUE"""),25.0)</f>
        <v>25</v>
      </c>
      <c r="B26" s="90" t="str">
        <f>IFERROR(__xludf.DUMMYFUNCTION("""COMPUTED_VALUE"""),"Radiance Flourish")</f>
        <v>Radiance Flourish</v>
      </c>
      <c r="C26" s="81">
        <f>IFERROR(__xludf.DUMMYFUNCTION("""COMPUTED_VALUE"""),240.0)</f>
        <v>240</v>
      </c>
      <c r="D26" s="82" t="str">
        <f>IFERROR(__xludf.DUMMYFUNCTION("""COMPUTED_VALUE"""),"Completed")</f>
        <v>Completed</v>
      </c>
      <c r="E26" s="86">
        <f>IFERROR(__xludf.DUMMYFUNCTION("IMPORTRANGE(""https://docs.google.com/spreadsheets/d/1vXNtxSRG35rFZnKJ2btvr-5rWi7qzLKnRHbrgIHuTLI/edit?gid=0#gid=0"",""project details!B12"")"),9083344.0)</f>
        <v>9083344</v>
      </c>
      <c r="F26" s="86">
        <f>IFERROR(__xludf.DUMMYFUNCTION("IMPORTRANGE(""https://docs.google.com/spreadsheets/d/1vXNtxSRG35rFZnKJ2btvr-5rWi7qzLKnRHbrgIHuTLI/edit?gid=0#gid=0"",""project details!B13"")"),7999931.400000001)</f>
        <v>7999931.4</v>
      </c>
      <c r="G26" s="87">
        <f>IFERROR(__xludf.DUMMYFUNCTION("IMPORTRANGE(""https://docs.google.com/spreadsheets/d/1vXNtxSRG35rFZnKJ2btvr-5rWi7qzLKnRHbrgIHuTLI/edit?gid=0#gid=0"",""project details!D12"")"),0.1)</f>
        <v>0.1</v>
      </c>
      <c r="H26" s="87">
        <f>IFERROR(__xludf.DUMMYFUNCTION("IMPORTRANGE(""https://docs.google.com/spreadsheets/d/1vXNtxSRG35rFZnKJ2btvr-5rWi7qzLKnRHbrgIHuTLI/edit?gid=0#gid=0"",""project details!D13"")"),0.11927464158574184)</f>
        <v>0.1192746416</v>
      </c>
      <c r="I26" s="85">
        <v>2024.0</v>
      </c>
      <c r="J26" s="86">
        <f>(E26-F26)</f>
        <v>1083412.6</v>
      </c>
    </row>
    <row r="27">
      <c r="A27" s="91">
        <f>IFERROR(__xludf.DUMMYFUNCTION("""COMPUTED_VALUE"""),26.0)</f>
        <v>26</v>
      </c>
      <c r="B27" s="92" t="str">
        <f>IFERROR(__xludf.DUMMYFUNCTION("""COMPUTED_VALUE"""),"Enexio Fill Factory")</f>
        <v>Enexio Fill Factory</v>
      </c>
      <c r="C27" s="93">
        <f>IFERROR(__xludf.DUMMYFUNCTION("""COMPUTED_VALUE"""),95.6)</f>
        <v>95.6</v>
      </c>
      <c r="D27" s="94" t="str">
        <f>IFERROR(__xludf.DUMMYFUNCTION("""COMPUTED_VALUE"""),"Completed")</f>
        <v>Completed</v>
      </c>
      <c r="E27" s="95">
        <f>IFERROR(__xludf.DUMMYFUNCTION("IMPORTRANGE(""https://docs.google.com/spreadsheets/d/1ZD8itj_FcCZNXgMeJKprnee2me3sC5soM3cNNDA2prM/edit?gid=228207614#gid=228207614"",""Project details!B12"")"),4703752.0)</f>
        <v>4703752</v>
      </c>
      <c r="F27" s="95">
        <f>IFERROR(__xludf.DUMMYFUNCTION("IMPORTRANGE(""https://docs.google.com/spreadsheets/d/1ZD8itj_FcCZNXgMeJKprnee2me3sC5soM3cNNDA2prM/edit?gid=228207614#gid=228207614"",""Project details!B13"")"),4049053.547800002)</f>
        <v>4049053.548</v>
      </c>
      <c r="G27" s="96">
        <f>IFERROR(__xludf.DUMMYFUNCTION("IMPORTRANGE(""https://docs.google.com/spreadsheets/d/1ZD8itj_FcCZNXgMeJKprnee2me3sC5soM3cNNDA2prM/edit?gid=228207614#gid=228207614"",""Project details!D12"")"),0.15)</f>
        <v>0.15</v>
      </c>
      <c r="H27" s="96">
        <f>IFERROR(__xludf.DUMMYFUNCTION("IMPORTRANGE(""https://docs.google.com/spreadsheets/d/1ZD8itj_FcCZNXgMeJKprnee2me3sC5soM3cNNDA2prM/edit?gid=228207614#gid=228207614"",""Project details!D13"")"),0.13918643078971804)</f>
        <v>0.1391864308</v>
      </c>
      <c r="I27" s="97">
        <v>2024.0</v>
      </c>
      <c r="J27" s="95">
        <f>E27-F27</f>
        <v>654698.4522</v>
      </c>
    </row>
    <row r="28">
      <c r="A28" s="88">
        <f>IFERROR(__xludf.DUMMYFUNCTION("""COMPUTED_VALUE"""),27.0)</f>
        <v>27</v>
      </c>
      <c r="B28" s="80" t="str">
        <f>IFERROR(__xludf.DUMMYFUNCTION("""COMPUTED_VALUE"""),"Abirami Eng Cons &amp; Co")</f>
        <v>Abirami Eng Cons &amp; Co</v>
      </c>
      <c r="C28" s="81">
        <f>IFERROR(__xludf.DUMMYFUNCTION("""COMPUTED_VALUE"""),20.0)</f>
        <v>20</v>
      </c>
      <c r="D28" s="82" t="str">
        <f>IFERROR(__xludf.DUMMYFUNCTION("""COMPUTED_VALUE"""),"Meter Client Scope")</f>
        <v>Meter Client Scope</v>
      </c>
      <c r="E28" s="86"/>
      <c r="F28" s="86"/>
      <c r="G28" s="87"/>
      <c r="H28" s="87"/>
      <c r="I28" s="85">
        <v>2024.0</v>
      </c>
      <c r="J28" s="86"/>
    </row>
    <row r="29">
      <c r="A29" s="88">
        <f>IFERROR(__xludf.DUMMYFUNCTION("""COMPUTED_VALUE"""),28.0)</f>
        <v>28</v>
      </c>
      <c r="B29" s="80" t="str">
        <f>IFERROR(__xludf.DUMMYFUNCTION("""COMPUTED_VALUE"""),"Mr Karthikeyan / TVS Hamlet")</f>
        <v>Mr Karthikeyan / TVS Hamlet</v>
      </c>
      <c r="C29" s="81">
        <f>IFERROR(__xludf.DUMMYFUNCTION("""COMPUTED_VALUE"""),6.0)</f>
        <v>6</v>
      </c>
      <c r="D29" s="82" t="str">
        <f>IFERROR(__xludf.DUMMYFUNCTION("""COMPUTED_VALUE"""),"Completed")</f>
        <v>Completed</v>
      </c>
      <c r="E29" s="86"/>
      <c r="F29" s="86"/>
      <c r="G29" s="87"/>
      <c r="H29" s="87"/>
      <c r="I29" s="85">
        <v>2024.0</v>
      </c>
      <c r="J29" s="86"/>
    </row>
    <row r="30">
      <c r="A30" s="88">
        <f>IFERROR(__xludf.DUMMYFUNCTION("""COMPUTED_VALUE"""),29.0)</f>
        <v>29</v>
      </c>
      <c r="B30" s="90" t="str">
        <f>IFERROR(__xludf.DUMMYFUNCTION("""COMPUTED_VALUE"""),"RWD Grand Corridor")</f>
        <v>RWD Grand Corridor</v>
      </c>
      <c r="C30" s="81">
        <f>IFERROR(__xludf.DUMMYFUNCTION("""COMPUTED_VALUE"""),75.0)</f>
        <v>75</v>
      </c>
      <c r="D30" s="82" t="str">
        <f>IFERROR(__xludf.DUMMYFUNCTION("""COMPUTED_VALUE"""),"Completed")</f>
        <v>Completed</v>
      </c>
      <c r="E30" s="86">
        <f>IFERROR(__xludf.DUMMYFUNCTION("IMPORTRANGE(""https://docs.google.com/spreadsheets/d/1F4aseCDV_V5dhzdUAcdKDyuxz4PC5qvgo5cJbfnlvd0/edit?gid=0#gid=0"",""Project details!B12"")"),3727996.0)</f>
        <v>3727996</v>
      </c>
      <c r="F30" s="86">
        <f>IFERROR(__xludf.DUMMYFUNCTION("IMPORTRANGE(""https://docs.google.com/spreadsheets/d/1F4aseCDV_V5dhzdUAcdKDyuxz4PC5qvgo5cJbfnlvd0/edit?gid=0#gid=0"",""Project details!B13"")"),2771837.1807999997)</f>
        <v>2771837.181</v>
      </c>
      <c r="G30" s="87">
        <f>IFERROR(__xludf.DUMMYFUNCTION("IMPORTRANGE(""https://docs.google.com/spreadsheets/d/1F4aseCDV_V5dhzdUAcdKDyuxz4PC5qvgo5cJbfnlvd0/edit?gid=0#gid=0"",""Project details!D12"")"),0.2)</f>
        <v>0.2</v>
      </c>
      <c r="H30" s="87">
        <f>IFERROR(__xludf.DUMMYFUNCTION("IMPORTRANGE(""https://docs.google.com/spreadsheets/d/1F4aseCDV_V5dhzdUAcdKDyuxz4PC5qvgo5cJbfnlvd0/edit?gid=0#gid=0"",""Project details!D13"")"),0.2564806451509069)</f>
        <v>0.2564806452</v>
      </c>
      <c r="I30" s="85">
        <v>2024.0</v>
      </c>
      <c r="J30" s="83">
        <f>(E30-F30)</f>
        <v>956158.8192</v>
      </c>
    </row>
    <row r="31">
      <c r="A31" s="80">
        <f>IFERROR(__xludf.DUMMYFUNCTION("""COMPUTED_VALUE"""),30.0)</f>
        <v>30</v>
      </c>
      <c r="B31" s="80" t="str">
        <f>IFERROR(__xludf.DUMMYFUNCTION("""COMPUTED_VALUE"""),"Jains Anarghya")</f>
        <v>Jains Anarghya</v>
      </c>
      <c r="C31" s="81">
        <f>IFERROR(__xludf.DUMMYFUNCTION("""COMPUTED_VALUE"""),19.0)</f>
        <v>19</v>
      </c>
      <c r="D31" s="82" t="str">
        <f>IFERROR(__xludf.DUMMYFUNCTION("""COMPUTED_VALUE"""),"Meter Client Scope")</f>
        <v>Meter Client Scope</v>
      </c>
      <c r="E31" s="86"/>
      <c r="F31" s="86"/>
      <c r="G31" s="87"/>
      <c r="H31" s="87"/>
      <c r="I31" s="85">
        <v>2024.0</v>
      </c>
      <c r="J31" s="86"/>
    </row>
    <row r="32">
      <c r="A32" s="80">
        <f>IFERROR(__xludf.DUMMYFUNCTION("""COMPUTED_VALUE"""),31.0)</f>
        <v>31</v>
      </c>
      <c r="B32" s="80" t="str">
        <f>IFERROR(__xludf.DUMMYFUNCTION("""COMPUTED_VALUE"""),"Jains Aadheeswar")</f>
        <v>Jains Aadheeswar</v>
      </c>
      <c r="C32" s="81">
        <f>IFERROR(__xludf.DUMMYFUNCTION("""COMPUTED_VALUE"""),42.0)</f>
        <v>42</v>
      </c>
      <c r="D32" s="82" t="str">
        <f>IFERROR(__xludf.DUMMYFUNCTION("""COMPUTED_VALUE"""),"Meter Client Scope")</f>
        <v>Meter Client Scope</v>
      </c>
      <c r="E32" s="86"/>
      <c r="F32" s="86"/>
      <c r="G32" s="87"/>
      <c r="H32" s="87"/>
      <c r="I32" s="85">
        <v>2024.0</v>
      </c>
      <c r="J32" s="86"/>
    </row>
    <row r="33">
      <c r="A33" s="88">
        <f>IFERROR(__xludf.DUMMYFUNCTION("""COMPUTED_VALUE"""),32.0)</f>
        <v>32</v>
      </c>
      <c r="B33" s="80" t="str">
        <f>IFERROR(__xludf.DUMMYFUNCTION("""COMPUTED_VALUE"""),"Jains Advaya")</f>
        <v>Jains Advaya</v>
      </c>
      <c r="C33" s="81">
        <f>IFERROR(__xludf.DUMMYFUNCTION("""COMPUTED_VALUE"""),64.0)</f>
        <v>64</v>
      </c>
      <c r="D33" s="82" t="str">
        <f>IFERROR(__xludf.DUMMYFUNCTION("""COMPUTED_VALUE"""),"Holding from Shiroi")</f>
        <v>Holding from Shiroi</v>
      </c>
      <c r="E33" s="86"/>
      <c r="F33" s="86"/>
      <c r="G33" s="87"/>
      <c r="H33" s="87"/>
      <c r="I33" s="85">
        <v>2024.0</v>
      </c>
      <c r="J33" s="86"/>
    </row>
    <row r="34">
      <c r="A34" s="88">
        <f>IFERROR(__xludf.DUMMYFUNCTION("""COMPUTED_VALUE"""),33.0)</f>
        <v>33</v>
      </c>
      <c r="B34" s="80" t="str">
        <f>IFERROR(__xludf.DUMMYFUNCTION("""COMPUTED_VALUE"""),"Mr Rathinam")</f>
        <v>Mr Rathinam</v>
      </c>
      <c r="C34" s="81">
        <f>IFERROR(__xludf.DUMMYFUNCTION("""COMPUTED_VALUE"""),5.0)</f>
        <v>5</v>
      </c>
      <c r="D34" s="82" t="str">
        <f>IFERROR(__xludf.DUMMYFUNCTION("""COMPUTED_VALUE"""),"Completed")</f>
        <v>Completed</v>
      </c>
      <c r="E34" s="86"/>
      <c r="F34" s="86"/>
      <c r="G34" s="87"/>
      <c r="H34" s="87"/>
      <c r="I34" s="85">
        <v>2024.0</v>
      </c>
      <c r="J34" s="86"/>
    </row>
    <row r="35">
      <c r="A35" s="80">
        <f>IFERROR(__xludf.DUMMYFUNCTION("""COMPUTED_VALUE"""),34.0)</f>
        <v>34</v>
      </c>
      <c r="B35" s="90" t="str">
        <f>IFERROR(__xludf.DUMMYFUNCTION("""COMPUTED_VALUE"""),"Mr Anandan")</f>
        <v>Mr Anandan</v>
      </c>
      <c r="C35" s="81">
        <f>IFERROR(__xludf.DUMMYFUNCTION("""COMPUTED_VALUE"""),4.0)</f>
        <v>4</v>
      </c>
      <c r="D35" s="82" t="str">
        <f>IFERROR(__xludf.DUMMYFUNCTION("""COMPUTED_VALUE"""),"Completed")</f>
        <v>Completed</v>
      </c>
      <c r="E35" s="86">
        <f>IFERROR(__xludf.DUMMYFUNCTION("IMPORTRANGE(""https://docs.google.com/spreadsheets/d/1-dObmLqq-0upx-F0MfyW2ooE1XMMoICR0F6z9rc5YSY/edit?gid=0#gid=0"",""project details!B12"")"),240000.0)</f>
        <v>240000</v>
      </c>
      <c r="F35" s="86">
        <f>IFERROR(__xludf.DUMMYFUNCTION("IMPORTRANGE(""https://docs.google.com/spreadsheets/d/1-dObmLqq-0upx-F0MfyW2ooE1XMMoICR0F6z9rc5YSY/edit?gid=0#gid=0"",""project details!B13"")"),202105.40000000005)</f>
        <v>202105.4</v>
      </c>
      <c r="G35" s="87">
        <f>IFERROR(__xludf.DUMMYFUNCTION("IMPORTRANGE(""https://docs.google.com/spreadsheets/d/1-dObmLqq-0upx-F0MfyW2ooE1XMMoICR0F6z9rc5YSY/edit?gid=0#gid=0"",""project details!D12"")"),0.1)</f>
        <v>0.1</v>
      </c>
      <c r="H35" s="87">
        <f>IFERROR(__xludf.DUMMYFUNCTION("IMPORTRANGE(""https://docs.google.com/spreadsheets/d/1-dObmLqq-0upx-F0MfyW2ooE1XMMoICR0F6z9rc5YSY/edit?gid=0#gid=0"",""project details!D13"")"),0.15789416666666645)</f>
        <v>0.1578941667</v>
      </c>
      <c r="I35" s="85">
        <v>2024.0</v>
      </c>
      <c r="J35" s="86">
        <f>(E35-F35)</f>
        <v>37894.6</v>
      </c>
    </row>
    <row r="36">
      <c r="A36" s="80">
        <f>IFERROR(__xludf.DUMMYFUNCTION("""COMPUTED_VALUE"""),35.0)</f>
        <v>35</v>
      </c>
      <c r="B36" s="80" t="str">
        <f>IFERROR(__xludf.DUMMYFUNCTION("""COMPUTED_VALUE"""),"Ramaniyam Summit")</f>
        <v>Ramaniyam Summit</v>
      </c>
      <c r="C36" s="81">
        <f>IFERROR(__xludf.DUMMYFUNCTION("""COMPUTED_VALUE"""),3.3)</f>
        <v>3.3</v>
      </c>
      <c r="D36" s="82" t="str">
        <f>IFERROR(__xludf.DUMMYFUNCTION("""COMPUTED_VALUE"""),"Completed")</f>
        <v>Completed</v>
      </c>
      <c r="E36" s="86"/>
      <c r="F36" s="86"/>
      <c r="G36" s="87"/>
      <c r="H36" s="87"/>
      <c r="I36" s="85">
        <v>2024.0</v>
      </c>
      <c r="J36" s="86"/>
    </row>
    <row r="37">
      <c r="A37" s="88">
        <f>IFERROR(__xludf.DUMMYFUNCTION("""COMPUTED_VALUE"""),36.0)</f>
        <v>36</v>
      </c>
      <c r="B37" s="80" t="str">
        <f>IFERROR(__xludf.DUMMYFUNCTION("""COMPUTED_VALUE"""),"Ramaniyam Trinity")</f>
        <v>Ramaniyam Trinity</v>
      </c>
      <c r="C37" s="81">
        <f>IFERROR(__xludf.DUMMYFUNCTION("""COMPUTED_VALUE"""),5.5)</f>
        <v>5.5</v>
      </c>
      <c r="D37" s="82" t="str">
        <f>IFERROR(__xludf.DUMMYFUNCTION("""COMPUTED_VALUE"""),"Completed")</f>
        <v>Completed</v>
      </c>
      <c r="E37" s="86"/>
      <c r="F37" s="86"/>
      <c r="G37" s="87"/>
      <c r="H37" s="87"/>
      <c r="I37" s="85">
        <v>2024.0</v>
      </c>
      <c r="J37" s="86"/>
    </row>
    <row r="38">
      <c r="A38" s="88">
        <f>IFERROR(__xludf.DUMMYFUNCTION("""COMPUTED_VALUE"""),37.0)</f>
        <v>37</v>
      </c>
      <c r="B38" s="80" t="str">
        <f>IFERROR(__xludf.DUMMYFUNCTION("""COMPUTED_VALUE"""),"Mr Kannaiyan")</f>
        <v>Mr Kannaiyan</v>
      </c>
      <c r="C38" s="81">
        <f>IFERROR(__xludf.DUMMYFUNCTION("""COMPUTED_VALUE"""),2.2)</f>
        <v>2.2</v>
      </c>
      <c r="D38" s="82" t="str">
        <f>IFERROR(__xludf.DUMMYFUNCTION("""COMPUTED_VALUE"""),"Completed")</f>
        <v>Completed</v>
      </c>
      <c r="E38" s="86"/>
      <c r="F38" s="86"/>
      <c r="G38" s="87"/>
      <c r="H38" s="87"/>
      <c r="I38" s="85">
        <v>2024.0</v>
      </c>
      <c r="J38" s="86"/>
    </row>
    <row r="39">
      <c r="A39" s="88">
        <f>IFERROR(__xludf.DUMMYFUNCTION("""COMPUTED_VALUE"""),38.0)</f>
        <v>38</v>
      </c>
      <c r="B39" s="80" t="str">
        <f>IFERROR(__xludf.DUMMYFUNCTION("""COMPUTED_VALUE"""),"Mr AM Raja")</f>
        <v>Mr AM Raja</v>
      </c>
      <c r="C39" s="81">
        <f>IFERROR(__xludf.DUMMYFUNCTION("""COMPUTED_VALUE"""),3.4)</f>
        <v>3.4</v>
      </c>
      <c r="D39" s="82" t="str">
        <f>IFERROR(__xludf.DUMMYFUNCTION("""COMPUTED_VALUE"""),"Completed")</f>
        <v>Completed</v>
      </c>
      <c r="E39" s="86"/>
      <c r="F39" s="86"/>
      <c r="G39" s="87"/>
      <c r="H39" s="87"/>
      <c r="I39" s="85">
        <v>2024.0</v>
      </c>
      <c r="J39" s="86"/>
    </row>
    <row r="40">
      <c r="A40" s="88">
        <f>IFERROR(__xludf.DUMMYFUNCTION("""COMPUTED_VALUE"""),39.0)</f>
        <v>39</v>
      </c>
      <c r="B40" s="80" t="str">
        <f>IFERROR(__xludf.DUMMYFUNCTION("""COMPUTED_VALUE"""),"Mr Krishnamurthy")</f>
        <v>Mr Krishnamurthy</v>
      </c>
      <c r="C40" s="81">
        <f>IFERROR(__xludf.DUMMYFUNCTION("""COMPUTED_VALUE"""),2.0)</f>
        <v>2</v>
      </c>
      <c r="D40" s="82" t="str">
        <f>IFERROR(__xludf.DUMMYFUNCTION("""COMPUTED_VALUE"""),"Completed")</f>
        <v>Completed</v>
      </c>
      <c r="E40" s="86"/>
      <c r="F40" s="86"/>
      <c r="G40" s="87"/>
      <c r="H40" s="87"/>
      <c r="I40" s="85">
        <v>2024.0</v>
      </c>
      <c r="J40" s="86"/>
    </row>
    <row r="41">
      <c r="A41" s="88">
        <f>IFERROR(__xludf.DUMMYFUNCTION("""COMPUTED_VALUE"""),40.0)</f>
        <v>40</v>
      </c>
      <c r="B41" s="80" t="str">
        <f>IFERROR(__xludf.DUMMYFUNCTION("""COMPUTED_VALUE"""),"GRN Kuyili")</f>
        <v>GRN Kuyili</v>
      </c>
      <c r="C41" s="81">
        <f>IFERROR(__xludf.DUMMYFUNCTION("""COMPUTED_VALUE"""),2.0)</f>
        <v>2</v>
      </c>
      <c r="D41" s="82" t="str">
        <f>IFERROR(__xludf.DUMMYFUNCTION("""COMPUTED_VALUE"""),"Completed")</f>
        <v>Completed</v>
      </c>
      <c r="E41" s="86"/>
      <c r="F41" s="86"/>
      <c r="G41" s="87"/>
      <c r="H41" s="87"/>
      <c r="I41" s="85">
        <v>2024.0</v>
      </c>
      <c r="J41" s="86"/>
    </row>
    <row r="42">
      <c r="A42" s="80">
        <f>IFERROR(__xludf.DUMMYFUNCTION("""COMPUTED_VALUE"""),41.0)</f>
        <v>41</v>
      </c>
      <c r="B42" s="80" t="str">
        <f>IFERROR(__xludf.DUMMYFUNCTION("""COMPUTED_VALUE"""),"Geeyam Meenakshi Illam")</f>
        <v>Geeyam Meenakshi Illam</v>
      </c>
      <c r="C42" s="81">
        <f>IFERROR(__xludf.DUMMYFUNCTION("""COMPUTED_VALUE"""),4.0)</f>
        <v>4</v>
      </c>
      <c r="D42" s="82" t="str">
        <f>IFERROR(__xludf.DUMMYFUNCTION("""COMPUTED_VALUE"""),"Completed")</f>
        <v>Completed</v>
      </c>
      <c r="E42" s="86"/>
      <c r="F42" s="86"/>
      <c r="G42" s="87"/>
      <c r="H42" s="87"/>
      <c r="I42" s="85">
        <v>2024.0</v>
      </c>
      <c r="J42" s="86"/>
    </row>
    <row r="43">
      <c r="A43" s="98">
        <f>IFERROR(__xludf.DUMMYFUNCTION("""COMPUTED_VALUE"""),42.0)</f>
        <v>42</v>
      </c>
      <c r="B43" s="98" t="str">
        <f>IFERROR(__xludf.DUMMYFUNCTION("""COMPUTED_VALUE"""),"GK Shetty tulive Bellevue")</f>
        <v>GK Shetty tulive Bellevue</v>
      </c>
      <c r="C43" s="93">
        <f>IFERROR(__xludf.DUMMYFUNCTION("""COMPUTED_VALUE"""),44.0)</f>
        <v>44</v>
      </c>
      <c r="D43" s="94" t="str">
        <f>IFERROR(__xludf.DUMMYFUNCTION("""COMPUTED_VALUE"""),"Completed")</f>
        <v>Completed</v>
      </c>
      <c r="E43" s="95">
        <f>IFERROR(__xludf.DUMMYFUNCTION("IMPORTRANGE(""https://docs.google.com/spreadsheets/d/1JVmV5VJ6puyqKYr1AB6Zf8phkGYwtTrp6KTT_Ww5Yes/edit?gid=0#gid=0"",""Project details!B12"")"),1916814.0)</f>
        <v>1916814</v>
      </c>
      <c r="F43" s="95">
        <f>IFERROR(__xludf.DUMMYFUNCTION("IMPORTRANGE(""https://docs.google.com/spreadsheets/d/1JVmV5VJ6puyqKYr1AB6Zf8phkGYwtTrp6KTT_Ww5Yes/edit?gid=0#gid=0"",""Project details!B13"")"),1518939.0412000003)</f>
        <v>1518939.041</v>
      </c>
      <c r="G43" s="96">
        <f>IFERROR(__xludf.DUMMYFUNCTION("IMPORTRANGE(""https://docs.google.com/spreadsheets/d/1JVmV5VJ6puyqKYr1AB6Zf8phkGYwtTrp6KTT_Ww5Yes/edit?gid=0#gid=0"",""Project details!D12"")"),0.1)</f>
        <v>0.1</v>
      </c>
      <c r="H43" s="96">
        <f>IFERROR(__xludf.DUMMYFUNCTION("IMPORTRANGE(""https://docs.google.com/spreadsheets/d/1JVmV5VJ6puyqKYr1AB6Zf8phkGYwtTrp6KTT_Ww5Yes/edit?gid=0#gid=0"",""Project details!D13"")"),0.20757097913516892)</f>
        <v>0.2075709791</v>
      </c>
      <c r="I43" s="97">
        <v>2024.0</v>
      </c>
      <c r="J43" s="95">
        <f>(E43-F43)</f>
        <v>397874.9588</v>
      </c>
    </row>
    <row r="44">
      <c r="A44" s="88">
        <f>IFERROR(__xludf.DUMMYFUNCTION("""COMPUTED_VALUE"""),43.0)</f>
        <v>43</v>
      </c>
      <c r="B44" s="80" t="str">
        <f>IFERROR(__xludf.DUMMYFUNCTION("""COMPUTED_VALUE"""),"Mr Swaminathan")</f>
        <v>Mr Swaminathan</v>
      </c>
      <c r="C44" s="81">
        <f>IFERROR(__xludf.DUMMYFUNCTION("""COMPUTED_VALUE"""),3.2)</f>
        <v>3.2</v>
      </c>
      <c r="D44" s="82" t="str">
        <f>IFERROR(__xludf.DUMMYFUNCTION("""COMPUTED_VALUE"""),"Completed")</f>
        <v>Completed</v>
      </c>
      <c r="E44" s="86"/>
      <c r="F44" s="86"/>
      <c r="G44" s="87"/>
      <c r="H44" s="87"/>
      <c r="I44" s="85">
        <v>2024.0</v>
      </c>
      <c r="J44" s="86"/>
    </row>
    <row r="45">
      <c r="A45" s="88">
        <f>IFERROR(__xludf.DUMMYFUNCTION("""COMPUTED_VALUE"""),44.0)</f>
        <v>44</v>
      </c>
      <c r="B45" s="90" t="str">
        <f>IFERROR(__xludf.DUMMYFUNCTION("""COMPUTED_VALUE"""),"Prestige Hill Crest")</f>
        <v>Prestige Hill Crest</v>
      </c>
      <c r="C45" s="89">
        <f>IFERROR(__xludf.DUMMYFUNCTION("""COMPUTED_VALUE"""),135.0)</f>
        <v>135</v>
      </c>
      <c r="D45" s="82" t="str">
        <f>IFERROR(__xludf.DUMMYFUNCTION("""COMPUTED_VALUE"""),"Waiting for Net Meter")</f>
        <v>Waiting for Net Meter</v>
      </c>
      <c r="E45" s="86">
        <f>IFERROR(__xludf.DUMMYFUNCTION("IMPORTRANGE(""https://docs.google.com/spreadsheets/d/1EyQ2_5LQeW2OF8tiFYZeQUMs-Xpu5bhQMQErWbCtXwI/edit?gid=0#gid=0"",""Project details!B12"")"),8967231.0)</f>
        <v>8967231</v>
      </c>
      <c r="F45" s="86">
        <f>IFERROR(__xludf.DUMMYFUNCTION("IMPORTRANGE(""https://docs.google.com/spreadsheets/d/1EyQ2_5LQeW2OF8tiFYZeQUMs-Xpu5bhQMQErWbCtXwI/edit?gid=0#gid=0"",""Project details!B13"")"),4492644.93)</f>
        <v>4492644.93</v>
      </c>
      <c r="G45" s="87">
        <f>IFERROR(__xludf.DUMMYFUNCTION("IMPORTRANGE(""https://docs.google.com/spreadsheets/d/1EyQ2_5LQeW2OF8tiFYZeQUMs-Xpu5bhQMQErWbCtXwI/edit?gid=0#gid=0"",""Project details!D12"")"),0.1)</f>
        <v>0.1</v>
      </c>
      <c r="H45" s="87">
        <f>IFERROR(__xludf.DUMMYFUNCTION("IMPORTRANGE(""https://docs.google.com/spreadsheets/d/1EyQ2_5LQeW2OF8tiFYZeQUMs-Xpu5bhQMQErWbCtXwI/edit?gid=0#gid=0"",""Project details!D13"")"),0.49899306374509594)</f>
        <v>0.4989930637</v>
      </c>
      <c r="I45" s="85">
        <v>2024.0</v>
      </c>
      <c r="J45" s="83">
        <f>(E45-F45)</f>
        <v>4474586.07</v>
      </c>
    </row>
    <row r="46">
      <c r="A46" s="80">
        <f>IFERROR(__xludf.DUMMYFUNCTION("""COMPUTED_VALUE"""),45.0)</f>
        <v>45</v>
      </c>
      <c r="B46" s="90" t="str">
        <f>IFERROR(__xludf.DUMMYFUNCTION("""COMPUTED_VALUE"""),"Sheela Green")</f>
        <v>Sheela Green</v>
      </c>
      <c r="C46" s="89">
        <f>IFERROR(__xludf.DUMMYFUNCTION("""COMPUTED_VALUE"""),13.5)</f>
        <v>13.5</v>
      </c>
      <c r="D46" s="82" t="str">
        <f>IFERROR(__xludf.DUMMYFUNCTION("""COMPUTED_VALUE"""),"Completed")</f>
        <v>Completed</v>
      </c>
      <c r="E46" s="86">
        <f>IFERROR(__xludf.DUMMYFUNCTION("IMPORTRANGE(""https://docs.google.com/spreadsheets/d/1R5XuZlAH2mmafGbc-CQ1SknN7ihryJ3mZo9979HQkgc/edit?gid=0#gid=0"",""Project details!B12"")"),774591.0)</f>
        <v>774591</v>
      </c>
      <c r="F46" s="86">
        <f>IFERROR(__xludf.DUMMYFUNCTION("IMPORTRANGE(""https://docs.google.com/spreadsheets/d/1R5XuZlAH2mmafGbc-CQ1SknN7ihryJ3mZo9979HQkgc/edit?gid=0#gid=0"",""Project details!B13"")"),706110.8096000004)</f>
        <v>706110.8096</v>
      </c>
      <c r="G46" s="87">
        <f>IFERROR(__xludf.DUMMYFUNCTION("IMPORTRANGE(""https://docs.google.com/spreadsheets/d/1R5XuZlAH2mmafGbc-CQ1SknN7ihryJ3mZo9979HQkgc/edit?gid=0#gid=0"",""Project details!D12"")"),0.1)</f>
        <v>0.1</v>
      </c>
      <c r="H46" s="87">
        <f>IFERROR(__xludf.DUMMYFUNCTION("IMPORTRANGE(""https://docs.google.com/spreadsheets/d/1R5XuZlAH2mmafGbc-CQ1SknN7ihryJ3mZo9979HQkgc/edit?gid=0#gid=0"",""Project details!D13"")"),0.0884081927107333)</f>
        <v>0.08840819271</v>
      </c>
      <c r="I46" s="85">
        <v>2024.0</v>
      </c>
      <c r="J46" s="86">
        <f>E46-F46</f>
        <v>68480.1904</v>
      </c>
    </row>
    <row r="47">
      <c r="A47" s="80">
        <f>IFERROR(__xludf.DUMMYFUNCTION("""COMPUTED_VALUE"""),46.0)</f>
        <v>46</v>
      </c>
      <c r="B47" s="90" t="str">
        <f>IFERROR(__xludf.DUMMYFUNCTION("""COMPUTED_VALUE"""),"Navins Starwood")</f>
        <v>Navins Starwood</v>
      </c>
      <c r="C47" s="81">
        <f>IFERROR(__xludf.DUMMYFUNCTION("""COMPUTED_VALUE"""),36.0)</f>
        <v>36</v>
      </c>
      <c r="D47" s="82" t="str">
        <f>IFERROR(__xludf.DUMMYFUNCTION("""COMPUTED_VALUE"""),"Completed")</f>
        <v>Completed</v>
      </c>
      <c r="E47" s="86">
        <f>IFERROR(__xludf.DUMMYFUNCTION("IMPORTRANGE(""https://docs.google.com/spreadsheets/d/1HczQMnZKs7URmPhElTr1CwIMYe_8YEzE_pJLXJDJDG8/edit?gid=0#gid=0"",""Project details!B12"")"),1795000.0)</f>
        <v>1795000</v>
      </c>
      <c r="F47" s="86">
        <f>IFERROR(__xludf.DUMMYFUNCTION("IMPORTRANGE(""https://docs.google.com/spreadsheets/d/1HczQMnZKs7URmPhElTr1CwIMYe_8YEzE_pJLXJDJDG8/edit?gid=0#gid=0"",""Project details!B13"")"),1224746.9800000002)</f>
        <v>1224746.98</v>
      </c>
      <c r="G47" s="87">
        <f>IFERROR(__xludf.DUMMYFUNCTION("IMPORTRANGE(""https://docs.google.com/spreadsheets/d/1HczQMnZKs7URmPhElTr1CwIMYe_8YEzE_pJLXJDJDG8/edit?gid=0#gid=0"",""Project details!D12"")"),0.15)</f>
        <v>0.15</v>
      </c>
      <c r="H47" s="87">
        <f>IFERROR(__xludf.DUMMYFUNCTION("IMPORTRANGE(""https://docs.google.com/spreadsheets/d/1HczQMnZKs7URmPhElTr1CwIMYe_8YEzE_pJLXJDJDG8/edit?gid=0#gid=0"",""Project details!D13"")"),0.31768970473537594)</f>
        <v>0.3176897047</v>
      </c>
      <c r="I47" s="85">
        <v>2024.0</v>
      </c>
      <c r="J47" s="83">
        <f>(E47-F47)</f>
        <v>570253.02</v>
      </c>
    </row>
    <row r="48">
      <c r="A48" s="88">
        <f>IFERROR(__xludf.DUMMYFUNCTION("""COMPUTED_VALUE"""),47.0)</f>
        <v>47</v>
      </c>
      <c r="B48" s="90" t="str">
        <f>IFERROR(__xludf.DUMMYFUNCTION("""COMPUTED_VALUE"""),"Shree Vrikshah homes")</f>
        <v>Shree Vrikshah homes</v>
      </c>
      <c r="C48" s="81">
        <f>IFERROR(__xludf.DUMMYFUNCTION("""COMPUTED_VALUE"""),9.9)</f>
        <v>9.9</v>
      </c>
      <c r="D48" s="82" t="str">
        <f>IFERROR(__xludf.DUMMYFUNCTION("""COMPUTED_VALUE"""),"Completed")</f>
        <v>Completed</v>
      </c>
      <c r="E48" s="86">
        <f>IFERROR(__xludf.DUMMYFUNCTION("IMPORTRANGE(""https://docs.google.com/spreadsheets/d/1JgolhpOvbSAYGaBY624JWIsJHA7ZhBwKt5dHISFzlh0/edit?gid=0#gid=0"",""Project details!B12"")"),390000.0)</f>
        <v>390000</v>
      </c>
      <c r="F48" s="86">
        <f>IFERROR(__xludf.DUMMYFUNCTION("IMPORTRANGE(""https://docs.google.com/spreadsheets/d/1JgolhpOvbSAYGaBY624JWIsJHA7ZhBwKt5dHISFzlh0/edit?gid=0#gid=0"",""Project details!B13"")"),248761.1)</f>
        <v>248761.1</v>
      </c>
      <c r="G48" s="87">
        <f>IFERROR(__xludf.DUMMYFUNCTION("IMPORTRANGE(""https://docs.google.com/spreadsheets/d/1JgolhpOvbSAYGaBY624JWIsJHA7ZhBwKt5dHISFzlh0/edit?gid=0#gid=0"",""Project details!D12"")"),0.1)</f>
        <v>0.1</v>
      </c>
      <c r="H48" s="87">
        <f>IFERROR(__xludf.DUMMYFUNCTION("IMPORTRANGE(""https://docs.google.com/spreadsheets/d/1JgolhpOvbSAYGaBY624JWIsJHA7ZhBwKt5dHISFzlh0/edit?gid=0#gid=0"",""Project details!D13"")"),0.36215102564102564)</f>
        <v>0.3621510256</v>
      </c>
      <c r="I48" s="85">
        <v>2024.0</v>
      </c>
      <c r="J48" s="86">
        <f t="shared" ref="J48:J49" si="1">E48-F48</f>
        <v>141238.9</v>
      </c>
    </row>
    <row r="49">
      <c r="A49" s="88">
        <f>IFERROR(__xludf.DUMMYFUNCTION("""COMPUTED_VALUE"""),48.0)</f>
        <v>48</v>
      </c>
      <c r="B49" s="90" t="str">
        <f>IFERROR(__xludf.DUMMYFUNCTION("""COMPUTED_VALUE"""),"Legendry Builders")</f>
        <v>Legendry Builders</v>
      </c>
      <c r="C49" s="81">
        <f>IFERROR(__xludf.DUMMYFUNCTION("""COMPUTED_VALUE"""),9.9)</f>
        <v>9.9</v>
      </c>
      <c r="D49" s="82" t="str">
        <f>IFERROR(__xludf.DUMMYFUNCTION("""COMPUTED_VALUE"""),"Completed")</f>
        <v>Completed</v>
      </c>
      <c r="E49" s="86">
        <f>IFERROR(__xludf.DUMMYFUNCTION("IMPORTRANGE(""https://docs.google.com/spreadsheets/d/1o037y4b-P53hs0UEPr5XyjR7kGSHRplh3CRRt8Jzca4/edit?gid=0#gid=0"",""Project details!B12"")"),450000.0)</f>
        <v>450000</v>
      </c>
      <c r="F49" s="86">
        <f>IFERROR(__xludf.DUMMYFUNCTION("IMPORTRANGE(""https://docs.google.com/spreadsheets/d/1o037y4b-P53hs0UEPr5XyjR7kGSHRplh3CRRt8Jzca4/edit?gid=0#gid=0"",""Project details!B13"")"),302420.07800000004)</f>
        <v>302420.078</v>
      </c>
      <c r="G49" s="87">
        <f>IFERROR(__xludf.DUMMYFUNCTION("IMPORTRANGE(""https://docs.google.com/spreadsheets/d/1o037y4b-P53hs0UEPr5XyjR7kGSHRplh3CRRt8Jzca4/edit?gid=0#gid=0"",""Project details!D12"")"),0.1)</f>
        <v>0.1</v>
      </c>
      <c r="H49" s="87">
        <f>IFERROR(__xludf.DUMMYFUNCTION("IMPORTRANGE(""https://docs.google.com/spreadsheets/d/1o037y4b-P53hs0UEPr5XyjR7kGSHRplh3CRRt8Jzca4/edit?gid=0#gid=0"",""Project details!D13"")"),0.32795538222222215)</f>
        <v>0.3279553822</v>
      </c>
      <c r="I49" s="85">
        <v>2024.0</v>
      </c>
      <c r="J49" s="86">
        <f t="shared" si="1"/>
        <v>147579.922</v>
      </c>
    </row>
    <row r="50">
      <c r="A50" s="88">
        <f>IFERROR(__xludf.DUMMYFUNCTION("""COMPUTED_VALUE"""),49.0)</f>
        <v>49</v>
      </c>
      <c r="B50" s="80" t="str">
        <f>IFERROR(__xludf.DUMMYFUNCTION("""COMPUTED_VALUE"""),"Mr Srinivasan L&amp;T")</f>
        <v>Mr Srinivasan L&amp;T</v>
      </c>
      <c r="C50" s="81">
        <f>IFERROR(__xludf.DUMMYFUNCTION("""COMPUTED_VALUE"""),5.0)</f>
        <v>5</v>
      </c>
      <c r="D50" s="82" t="str">
        <f>IFERROR(__xludf.DUMMYFUNCTION("""COMPUTED_VALUE"""),"Completed")</f>
        <v>Completed</v>
      </c>
      <c r="E50" s="86"/>
      <c r="F50" s="86"/>
      <c r="G50" s="87"/>
      <c r="H50" s="87"/>
      <c r="I50" s="85">
        <v>2024.0</v>
      </c>
      <c r="J50" s="86"/>
    </row>
    <row r="51">
      <c r="A51" s="88">
        <f>IFERROR(__xludf.DUMMYFUNCTION("""COMPUTED_VALUE"""),50.0)</f>
        <v>50</v>
      </c>
      <c r="B51" s="80" t="str">
        <f>IFERROR(__xludf.DUMMYFUNCTION("""COMPUTED_VALUE"""),"Khurinji's Iris")</f>
        <v>Khurinji's Iris</v>
      </c>
      <c r="C51" s="81">
        <f>IFERROR(__xludf.DUMMYFUNCTION("""COMPUTED_VALUE"""),3.0)</f>
        <v>3</v>
      </c>
      <c r="D51" s="82" t="str">
        <f>IFERROR(__xludf.DUMMYFUNCTION("""COMPUTED_VALUE"""),"Completed")</f>
        <v>Completed</v>
      </c>
      <c r="E51" s="86"/>
      <c r="F51" s="86"/>
      <c r="G51" s="87"/>
      <c r="H51" s="87"/>
      <c r="I51" s="85">
        <v>2024.0</v>
      </c>
      <c r="J51" s="86"/>
    </row>
    <row r="52">
      <c r="A52" s="88">
        <f>IFERROR(__xludf.DUMMYFUNCTION("""COMPUTED_VALUE"""),51.0)</f>
        <v>51</v>
      </c>
      <c r="B52" s="80" t="str">
        <f>IFERROR(__xludf.DUMMYFUNCTION("""COMPUTED_VALUE"""),"Hindu School Payalwar Street")</f>
        <v>Hindu School Payalwar Street</v>
      </c>
      <c r="C52" s="81">
        <f>IFERROR(__xludf.DUMMYFUNCTION("""COMPUTED_VALUE"""),110.0)</f>
        <v>110</v>
      </c>
      <c r="D52" s="82" t="str">
        <f>IFERROR(__xludf.DUMMYFUNCTION("""COMPUTED_VALUE"""),"Completed")</f>
        <v>Completed</v>
      </c>
      <c r="E52" s="86">
        <f>IFERROR(__xludf.DUMMYFUNCTION("IMPORTRANGE(""https://docs.google.com/spreadsheets/d/1eI5Am-6nSfO6Nupa6HoFMBn3ACtvyztFSRSwp6UOoYc/edit?gid=0#gid=0"",""Project details!B12"")"),7532270.0)</f>
        <v>7532270</v>
      </c>
      <c r="F52" s="86">
        <f>IFERROR(__xludf.DUMMYFUNCTION("IMPORTRANGE(""https://docs.google.com/spreadsheets/d/1eI5Am-6nSfO6Nupa6HoFMBn3ACtvyztFSRSwp6UOoYc/edit?gid=0#gid=0"",""Project details!B13"")"),5496751.228400001)</f>
        <v>5496751.228</v>
      </c>
      <c r="G52" s="87">
        <f>IFERROR(__xludf.DUMMYFUNCTION("IMPORTRANGE(""https://docs.google.com/spreadsheets/d/1eI5Am-6nSfO6Nupa6HoFMBn3ACtvyztFSRSwp6UOoYc/edit?gid=0#gid=0"",""Project details!D12"")"),0.15)</f>
        <v>0.15</v>
      </c>
      <c r="H52" s="87">
        <f>IFERROR(__xludf.DUMMYFUNCTION("IMPORTRANGE(""https://docs.google.com/spreadsheets/d/1eI5Am-6nSfO6Nupa6HoFMBn3ACtvyztFSRSwp6UOoYc/edit?gid=0#gid=0"",""Project details!D13"")"),0.27023975131002986)</f>
        <v>0.2702397513</v>
      </c>
      <c r="I52" s="85">
        <v>2024.0</v>
      </c>
      <c r="J52" s="86">
        <f>E52-F52</f>
        <v>2035518.772</v>
      </c>
    </row>
    <row r="53">
      <c r="A53" s="80">
        <f>IFERROR(__xludf.DUMMYFUNCTION("""COMPUTED_VALUE"""),52.0)</f>
        <v>52</v>
      </c>
      <c r="B53" s="90" t="str">
        <f>IFERROR(__xludf.DUMMYFUNCTION("""COMPUTED_VALUE"""),"Adroit Prosper")</f>
        <v>Adroit Prosper</v>
      </c>
      <c r="C53" s="81">
        <f>IFERROR(__xludf.DUMMYFUNCTION("""COMPUTED_VALUE"""),10.0)</f>
        <v>10</v>
      </c>
      <c r="D53" s="82" t="str">
        <f>IFERROR(__xludf.DUMMYFUNCTION("""COMPUTED_VALUE"""),"Completed")</f>
        <v>Completed</v>
      </c>
      <c r="E53" s="86">
        <f>IFERROR(__xludf.DUMMYFUNCTION("IMPORTRANGE(""https://docs.google.com/spreadsheets/d/1xm9BEbbhvdBNKqA8Qlr9aNeDyh8SxUWk4w0ifMRTfBg/edit?gid=0#gid=0"",""Project details!B12"")"),501199.0)</f>
        <v>501199</v>
      </c>
      <c r="F53" s="86">
        <f>IFERROR(__xludf.DUMMYFUNCTION("IMPORTRANGE(""https://docs.google.com/spreadsheets/d/1xm9BEbbhvdBNKqA8Qlr9aNeDyh8SxUWk4w0ifMRTfBg/edit?gid=0#gid=0"",""Project details!B13"")"),366961.4199999999)</f>
        <v>366961.42</v>
      </c>
      <c r="G53" s="87">
        <f>IFERROR(__xludf.DUMMYFUNCTION("IMPORTRANGE(""https://docs.google.com/spreadsheets/d/1xm9BEbbhvdBNKqA8Qlr9aNeDyh8SxUWk4w0ifMRTfBg/edit?gid=0#gid=0"",""Project details!D12"")"),0.075)</f>
        <v>0.075</v>
      </c>
      <c r="H53" s="87">
        <f>IFERROR(__xludf.DUMMYFUNCTION("IMPORTRANGE(""https://docs.google.com/spreadsheets/d/1xm9BEbbhvdBNKqA8Qlr9aNeDyh8SxUWk4w0ifMRTfBg/edit?gid=0#gid=0"",""Project details!D13"")"),0.26783289671368077)</f>
        <v>0.2678328967</v>
      </c>
      <c r="I53" s="85">
        <v>2024.0</v>
      </c>
      <c r="J53" s="86">
        <f>(E53-F53)</f>
        <v>134237.58</v>
      </c>
    </row>
    <row r="54">
      <c r="A54" s="98">
        <f>IFERROR(__xludf.DUMMYFUNCTION("""COMPUTED_VALUE"""),53.0)</f>
        <v>53</v>
      </c>
      <c r="B54" s="92" t="str">
        <f>IFERROR(__xludf.DUMMYFUNCTION("""COMPUTED_VALUE"""),"RCC e Constrcution")</f>
        <v>RCC e Constrcution</v>
      </c>
      <c r="C54" s="99">
        <f>IFERROR(__xludf.DUMMYFUNCTION("""COMPUTED_VALUE"""),20.0)</f>
        <v>20</v>
      </c>
      <c r="D54" s="94" t="str">
        <f>IFERROR(__xludf.DUMMYFUNCTION("""COMPUTED_VALUE"""),"Completed")</f>
        <v>Completed</v>
      </c>
      <c r="E54" s="95">
        <f>IFERROR(__xludf.DUMMYFUNCTION("IMPORTRANGE(""https://docs.google.com/spreadsheets/d/1EYAOJ2frDB3PGeZQPhiH0LKKQ9KNC4e8YF0cHlFubAA/edit?gid=0#gid=0"",""project details!B12"")"),649621.0)</f>
        <v>649621</v>
      </c>
      <c r="F54" s="95">
        <f>IFERROR(__xludf.DUMMYFUNCTION("IMPORTRANGE(""https://docs.google.com/spreadsheets/d/1EYAOJ2frDB3PGeZQPhiH0LKKQ9KNC4e8YF0cHlFubAA/edit?gid=0#gid=0"",""project details!B13"")"),462975.4)</f>
        <v>462975.4</v>
      </c>
      <c r="G54" s="96">
        <f>IFERROR(__xludf.DUMMYFUNCTION("IMPORTRANGE(""https://docs.google.com/spreadsheets/d/1EYAOJ2frDB3PGeZQPhiH0LKKQ9KNC4e8YF0cHlFubAA/edit?gid=0#gid=0"",""project details!D12"")"),0.1)</f>
        <v>0.1</v>
      </c>
      <c r="H54" s="96">
        <f>IFERROR(__xludf.DUMMYFUNCTION("IMPORTRANGE(""https://docs.google.com/spreadsheets/d/1EYAOJ2frDB3PGeZQPhiH0LKKQ9KNC4e8YF0cHlFubAA/edit?gid=0#gid=0"",""project details!D13"")"),0.2873146034380046)</f>
        <v>0.2873146034</v>
      </c>
      <c r="I54" s="97">
        <v>2024.0</v>
      </c>
      <c r="J54" s="95">
        <f>E54-F54</f>
        <v>186645.6</v>
      </c>
    </row>
    <row r="55">
      <c r="A55" s="88">
        <f>IFERROR(__xludf.DUMMYFUNCTION("""COMPUTED_VALUE"""),54.0)</f>
        <v>54</v>
      </c>
      <c r="B55" s="80" t="str">
        <f>IFERROR(__xludf.DUMMYFUNCTION("""COMPUTED_VALUE"""),"Mr Saravana Bhava")</f>
        <v>Mr Saravana Bhava</v>
      </c>
      <c r="C55" s="81">
        <f>IFERROR(__xludf.DUMMYFUNCTION("""COMPUTED_VALUE"""),2.0)</f>
        <v>2</v>
      </c>
      <c r="D55" s="82" t="str">
        <f>IFERROR(__xludf.DUMMYFUNCTION("""COMPUTED_VALUE"""),"Completed")</f>
        <v>Completed</v>
      </c>
      <c r="E55" s="86"/>
      <c r="F55" s="86"/>
      <c r="G55" s="87"/>
      <c r="H55" s="87"/>
      <c r="I55" s="85">
        <v>2024.0</v>
      </c>
      <c r="J55" s="86"/>
    </row>
    <row r="56">
      <c r="A56" s="88">
        <f>IFERROR(__xludf.DUMMYFUNCTION("""COMPUTED_VALUE"""),55.0)</f>
        <v>55</v>
      </c>
      <c r="B56" s="80" t="str">
        <f>IFERROR(__xludf.DUMMYFUNCTION("""COMPUTED_VALUE"""),"Mr Srinivasan Madipakkam")</f>
        <v>Mr Srinivasan Madipakkam</v>
      </c>
      <c r="C56" s="81">
        <f>IFERROR(__xludf.DUMMYFUNCTION("""COMPUTED_VALUE"""),2.0)</f>
        <v>2</v>
      </c>
      <c r="D56" s="82" t="str">
        <f>IFERROR(__xludf.DUMMYFUNCTION("""COMPUTED_VALUE"""),"Completed")</f>
        <v>Completed</v>
      </c>
      <c r="E56" s="86"/>
      <c r="F56" s="86"/>
      <c r="G56" s="87"/>
      <c r="H56" s="87"/>
      <c r="I56" s="85">
        <v>2024.0</v>
      </c>
      <c r="J56" s="86"/>
    </row>
    <row r="57">
      <c r="A57" s="80">
        <f>IFERROR(__xludf.DUMMYFUNCTION("""COMPUTED_VALUE"""),56.0)</f>
        <v>56</v>
      </c>
      <c r="B57" s="80" t="str">
        <f>IFERROR(__xludf.DUMMYFUNCTION("""COMPUTED_VALUE"""),"Ramaniyam Parampara")</f>
        <v>Ramaniyam Parampara</v>
      </c>
      <c r="C57" s="81">
        <f>IFERROR(__xludf.DUMMYFUNCTION("""COMPUTED_VALUE"""),3.3)</f>
        <v>3.3</v>
      </c>
      <c r="D57" s="82" t="str">
        <f>IFERROR(__xludf.DUMMYFUNCTION("""COMPUTED_VALUE"""),"Completed")</f>
        <v>Completed</v>
      </c>
      <c r="E57" s="86"/>
      <c r="F57" s="86"/>
      <c r="G57" s="87"/>
      <c r="H57" s="87"/>
      <c r="I57" s="85">
        <v>2024.0</v>
      </c>
      <c r="J57" s="86"/>
    </row>
    <row r="58">
      <c r="A58" s="80">
        <f>IFERROR(__xludf.DUMMYFUNCTION("""COMPUTED_VALUE"""),57.0)</f>
        <v>57</v>
      </c>
      <c r="B58" s="80" t="str">
        <f>IFERROR(__xludf.DUMMYFUNCTION("""COMPUTED_VALUE"""),"Mr Ravish")</f>
        <v>Mr Ravish</v>
      </c>
      <c r="C58" s="81">
        <f>IFERROR(__xludf.DUMMYFUNCTION("""COMPUTED_VALUE"""),3.5)</f>
        <v>3.5</v>
      </c>
      <c r="D58" s="82" t="str">
        <f>IFERROR(__xludf.DUMMYFUNCTION("""COMPUTED_VALUE"""),"Completed")</f>
        <v>Completed</v>
      </c>
      <c r="E58" s="86"/>
      <c r="F58" s="86"/>
      <c r="G58" s="87"/>
      <c r="H58" s="87"/>
      <c r="I58" s="85">
        <v>2024.0</v>
      </c>
      <c r="J58" s="86"/>
    </row>
    <row r="59">
      <c r="A59" s="88">
        <f>IFERROR(__xludf.DUMMYFUNCTION("""COMPUTED_VALUE"""),58.0)</f>
        <v>58</v>
      </c>
      <c r="B59" s="80" t="str">
        <f>IFERROR(__xludf.DUMMYFUNCTION("""COMPUTED_VALUE"""),"GRN Shree Nivas")</f>
        <v>GRN Shree Nivas</v>
      </c>
      <c r="C59" s="81">
        <f>IFERROR(__xludf.DUMMYFUNCTION("""COMPUTED_VALUE"""),2.0)</f>
        <v>2</v>
      </c>
      <c r="D59" s="82" t="str">
        <f>IFERROR(__xludf.DUMMYFUNCTION("""COMPUTED_VALUE"""),"Completed")</f>
        <v>Completed</v>
      </c>
      <c r="E59" s="86"/>
      <c r="F59" s="86"/>
      <c r="G59" s="87"/>
      <c r="H59" s="87"/>
      <c r="I59" s="85">
        <v>2024.0</v>
      </c>
      <c r="J59" s="86"/>
    </row>
    <row r="60">
      <c r="A60" s="88">
        <f>IFERROR(__xludf.DUMMYFUNCTION("""COMPUTED_VALUE"""),59.0)</f>
        <v>59</v>
      </c>
      <c r="B60" s="80" t="str">
        <f>IFERROR(__xludf.DUMMYFUNCTION("""COMPUTED_VALUE"""),"GRN Mangaladev")</f>
        <v>GRN Mangaladev</v>
      </c>
      <c r="C60" s="81">
        <f>IFERROR(__xludf.DUMMYFUNCTION("""COMPUTED_VALUE"""),2.0)</f>
        <v>2</v>
      </c>
      <c r="D60" s="82" t="str">
        <f>IFERROR(__xludf.DUMMYFUNCTION("""COMPUTED_VALUE"""),"Completed")</f>
        <v>Completed</v>
      </c>
      <c r="E60" s="86"/>
      <c r="F60" s="86"/>
      <c r="G60" s="87"/>
      <c r="H60" s="87"/>
      <c r="I60" s="85">
        <v>2024.0</v>
      </c>
      <c r="J60" s="86"/>
    </row>
    <row r="61">
      <c r="A61" s="88">
        <f>IFERROR(__xludf.DUMMYFUNCTION("""COMPUTED_VALUE"""),60.0)</f>
        <v>60</v>
      </c>
      <c r="B61" s="80" t="str">
        <f>IFERROR(__xludf.DUMMYFUNCTION("""COMPUTED_VALUE"""),"Mr Bharath")</f>
        <v>Mr Bharath</v>
      </c>
      <c r="C61" s="81">
        <f>IFERROR(__xludf.DUMMYFUNCTION("""COMPUTED_VALUE"""),5.0)</f>
        <v>5</v>
      </c>
      <c r="D61" s="82" t="str">
        <f>IFERROR(__xludf.DUMMYFUNCTION("""COMPUTED_VALUE"""),"Completed")</f>
        <v>Completed</v>
      </c>
      <c r="E61" s="86"/>
      <c r="F61" s="86"/>
      <c r="G61" s="87"/>
      <c r="H61" s="87"/>
      <c r="I61" s="85">
        <v>2024.0</v>
      </c>
      <c r="J61" s="86"/>
    </row>
    <row r="62">
      <c r="A62" s="88">
        <f>IFERROR(__xludf.DUMMYFUNCTION("""COMPUTED_VALUE"""),61.0)</f>
        <v>61</v>
      </c>
      <c r="B62" s="80" t="str">
        <f>IFERROR(__xludf.DUMMYFUNCTION("""COMPUTED_VALUE"""),"Mr.Anilkumar Mehta - Home")</f>
        <v>Mr.Anilkumar Mehta - Home</v>
      </c>
      <c r="C62" s="81">
        <f>IFERROR(__xludf.DUMMYFUNCTION("""COMPUTED_VALUE"""),8.8)</f>
        <v>8.8</v>
      </c>
      <c r="D62" s="82" t="str">
        <f>IFERROR(__xludf.DUMMYFUNCTION("""COMPUTED_VALUE"""),"Completed")</f>
        <v>Completed</v>
      </c>
      <c r="E62" s="86"/>
      <c r="F62" s="86"/>
      <c r="G62" s="87"/>
      <c r="H62" s="87"/>
      <c r="I62" s="85">
        <v>2024.0</v>
      </c>
      <c r="J62" s="86"/>
    </row>
    <row r="63">
      <c r="A63" s="88">
        <f>IFERROR(__xludf.DUMMYFUNCTION("""COMPUTED_VALUE"""),62.0)</f>
        <v>62</v>
      </c>
      <c r="B63" s="80" t="str">
        <f>IFERROR(__xludf.DUMMYFUNCTION("""COMPUTED_VALUE"""),"Opus 96")</f>
        <v>Opus 96</v>
      </c>
      <c r="C63" s="81">
        <f>IFERROR(__xludf.DUMMYFUNCTION("""COMPUTED_VALUE"""),5.9)</f>
        <v>5.9</v>
      </c>
      <c r="D63" s="82" t="str">
        <f>IFERROR(__xludf.DUMMYFUNCTION("""COMPUTED_VALUE"""),"Completed")</f>
        <v>Completed</v>
      </c>
      <c r="E63" s="86"/>
      <c r="F63" s="86"/>
      <c r="G63" s="87"/>
      <c r="H63" s="87"/>
      <c r="I63" s="85">
        <v>2024.0</v>
      </c>
      <c r="J63" s="86"/>
    </row>
    <row r="64">
      <c r="A64" s="80">
        <f>IFERROR(__xludf.DUMMYFUNCTION("""COMPUTED_VALUE"""),63.0)</f>
        <v>63</v>
      </c>
      <c r="B64" s="80" t="str">
        <f>IFERROR(__xludf.DUMMYFUNCTION("""COMPUTED_VALUE"""),"BEEL")</f>
        <v>BEEL</v>
      </c>
      <c r="C64" s="81">
        <f>IFERROR(__xludf.DUMMYFUNCTION("""COMPUTED_VALUE"""),3.3)</f>
        <v>3.3</v>
      </c>
      <c r="D64" s="82" t="str">
        <f>IFERROR(__xludf.DUMMYFUNCTION("""COMPUTED_VALUE"""),"Completed")</f>
        <v>Completed</v>
      </c>
      <c r="E64" s="86"/>
      <c r="F64" s="86"/>
      <c r="G64" s="87"/>
      <c r="H64" s="87"/>
      <c r="I64" s="85">
        <v>2024.0</v>
      </c>
      <c r="J64" s="86"/>
    </row>
    <row r="65">
      <c r="A65" s="80">
        <f>IFERROR(__xludf.DUMMYFUNCTION("""COMPUTED_VALUE"""),64.0)</f>
        <v>64</v>
      </c>
      <c r="B65" s="80" t="str">
        <f>IFERROR(__xludf.DUMMYFUNCTION("""COMPUTED_VALUE"""),"Ramaniyam Padhuka")</f>
        <v>Ramaniyam Padhuka</v>
      </c>
      <c r="C65" s="81">
        <f>IFERROR(__xludf.DUMMYFUNCTION("""COMPUTED_VALUE"""),2.7)</f>
        <v>2.7</v>
      </c>
      <c r="D65" s="82" t="str">
        <f>IFERROR(__xludf.DUMMYFUNCTION("""COMPUTED_VALUE"""),"Completed")</f>
        <v>Completed</v>
      </c>
      <c r="E65" s="86"/>
      <c r="F65" s="86"/>
      <c r="G65" s="87"/>
      <c r="H65" s="87"/>
      <c r="I65" s="85">
        <v>2024.0</v>
      </c>
      <c r="J65" s="86"/>
    </row>
    <row r="66">
      <c r="A66" s="88">
        <f>IFERROR(__xludf.DUMMYFUNCTION("""COMPUTED_VALUE"""),65.0)</f>
        <v>65</v>
      </c>
      <c r="B66" s="80" t="str">
        <f>IFERROR(__xludf.DUMMYFUNCTION("""COMPUTED_VALUE"""),"DMS")</f>
        <v>DMS</v>
      </c>
      <c r="C66" s="81">
        <f>IFERROR(__xludf.DUMMYFUNCTION("""COMPUTED_VALUE"""),29.0)</f>
        <v>29</v>
      </c>
      <c r="D66" s="82" t="str">
        <f>IFERROR(__xludf.DUMMYFUNCTION("""COMPUTED_VALUE"""),"Holding from client")</f>
        <v>Holding from client</v>
      </c>
      <c r="E66" s="86"/>
      <c r="F66" s="86"/>
      <c r="G66" s="87"/>
      <c r="H66" s="87"/>
      <c r="I66" s="85">
        <v>2024.0</v>
      </c>
      <c r="J66" s="86"/>
    </row>
    <row r="67">
      <c r="A67" s="100">
        <f>IFERROR(__xludf.DUMMYFUNCTION("""COMPUTED_VALUE"""),66.0)</f>
        <v>66</v>
      </c>
      <c r="B67" s="101" t="str">
        <f>IFERROR(__xludf.DUMMYFUNCTION("""COMPUTED_VALUE"""),"CM Constrcution")</f>
        <v>CM Constrcution</v>
      </c>
      <c r="C67" s="102">
        <f>IFERROR(__xludf.DUMMYFUNCTION("""COMPUTED_VALUE"""),3.3)</f>
        <v>3.3</v>
      </c>
      <c r="D67" s="103" t="str">
        <f>IFERROR(__xludf.DUMMYFUNCTION("""COMPUTED_VALUE"""),"Completed")</f>
        <v>Completed</v>
      </c>
      <c r="E67" s="104">
        <f>IFERROR(__xludf.DUMMYFUNCTION("IMPORTRANGE(""https://docs.google.com/spreadsheets/d/1CZzoU9uVhFFSnNmQeZIfoVYn26IHi_VTN8UKNd3cdXY/edit?gid=0#gid=0"",""Project details!B12"")"),235000.0)</f>
        <v>235000</v>
      </c>
      <c r="F67" s="104">
        <f>IFERROR(__xludf.DUMMYFUNCTION("IMPORTRANGE(""https://docs.google.com/spreadsheets/d/1CZzoU9uVhFFSnNmQeZIfoVYn26IHi_VTN8UKNd3cdXY/edit?gid=0#gid=0"",""Project details!B13"")"),215595.96399999998)</f>
        <v>215595.964</v>
      </c>
      <c r="G67" s="105">
        <f>IFERROR(__xludf.DUMMYFUNCTION("IMPORTRANGE(""https://docs.google.com/spreadsheets/d/1CZzoU9uVhFFSnNmQeZIfoVYn26IHi_VTN8UKNd3cdXY/edit?gid=0#gid=0"",""Project details!D12"")"),0.1)</f>
        <v>0.1</v>
      </c>
      <c r="H67" s="105">
        <f>IFERROR(__xludf.DUMMYFUNCTION("IMPORTRANGE(""https://docs.google.com/spreadsheets/d/1CZzoU9uVhFFSnNmQeZIfoVYn26IHi_VTN8UKNd3cdXY/edit?gid=0#gid=0"",""Project details!D13"")"),0.0825703659574469)</f>
        <v>0.08257036596</v>
      </c>
      <c r="I67" s="106">
        <v>2024.0</v>
      </c>
      <c r="J67" s="104">
        <f>(E67-F67)</f>
        <v>19404.036</v>
      </c>
    </row>
    <row r="68">
      <c r="A68" s="80">
        <f>IFERROR(__xludf.DUMMYFUNCTION("""COMPUTED_VALUE"""),67.0)</f>
        <v>67</v>
      </c>
      <c r="B68" s="80" t="str">
        <f>IFERROR(__xludf.DUMMYFUNCTION("""COMPUTED_VALUE"""),"Mr Muralidharan")</f>
        <v>Mr Muralidharan</v>
      </c>
      <c r="C68" s="81">
        <f>IFERROR(__xludf.DUMMYFUNCTION("""COMPUTED_VALUE"""),3.3)</f>
        <v>3.3</v>
      </c>
      <c r="D68" s="82" t="str">
        <f>IFERROR(__xludf.DUMMYFUNCTION("""COMPUTED_VALUE"""),"Completed")</f>
        <v>Completed</v>
      </c>
      <c r="E68" s="86"/>
      <c r="F68" s="86"/>
      <c r="G68" s="87"/>
      <c r="H68" s="87"/>
      <c r="I68" s="85">
        <v>2024.0</v>
      </c>
      <c r="J68" s="86"/>
    </row>
    <row r="69">
      <c r="A69" s="80">
        <f>IFERROR(__xludf.DUMMYFUNCTION("""COMPUTED_VALUE"""),68.0)</f>
        <v>68</v>
      </c>
      <c r="B69" s="90" t="str">
        <f>IFERROR(__xludf.DUMMYFUNCTION("""COMPUTED_VALUE"""),"Mr Devadoss")</f>
        <v>Mr Devadoss</v>
      </c>
      <c r="C69" s="81">
        <f>IFERROR(__xludf.DUMMYFUNCTION("""COMPUTED_VALUE"""),7.0)</f>
        <v>7</v>
      </c>
      <c r="D69" s="82" t="str">
        <f>IFERROR(__xludf.DUMMYFUNCTION("""COMPUTED_VALUE"""),"Completed")</f>
        <v>Completed</v>
      </c>
      <c r="E69" s="86">
        <f>IFERROR(__xludf.DUMMYFUNCTION("IMPORTRANGE(""https://docs.google.com/spreadsheets/d/1NfR4GXL9pf9mSbdT8IUhHHmykFw8EOSobo2b2U9fn_Y/edit?gid=0#gid=0"",""project details!B12"")"),505000.0)</f>
        <v>505000</v>
      </c>
      <c r="F69" s="86">
        <f>IFERROR(__xludf.DUMMYFUNCTION("IMPORTRANGE(""https://docs.google.com/spreadsheets/d/1NfR4GXL9pf9mSbdT8IUhHHmykFw8EOSobo2b2U9fn_Y/edit?gid=0#gid=0"",""project details!B13"")"),347602.93000000005)</f>
        <v>347602.93</v>
      </c>
      <c r="G69" s="87">
        <f>IFERROR(__xludf.DUMMYFUNCTION("IMPORTRANGE(""https://docs.google.com/spreadsheets/d/1NfR4GXL9pf9mSbdT8IUhHHmykFw8EOSobo2b2U9fn_Y/edit?gid=0#gid=0"",""project details!D12"")"),0.1)</f>
        <v>0.1</v>
      </c>
      <c r="H69" s="87">
        <f>IFERROR(__xludf.DUMMYFUNCTION("IMPORTRANGE(""https://docs.google.com/spreadsheets/d/1NfR4GXL9pf9mSbdT8IUhHHmykFw8EOSobo2b2U9fn_Y/edit?gid=0#gid=0"",""project details!D13"")"),0.31167736633663357)</f>
        <v>0.3116773663</v>
      </c>
      <c r="I69" s="85">
        <v>2024.0</v>
      </c>
      <c r="J69" s="86">
        <f>(E69-F69)</f>
        <v>157397.07</v>
      </c>
    </row>
    <row r="70">
      <c r="A70" s="88">
        <f>IFERROR(__xludf.DUMMYFUNCTION("""COMPUTED_VALUE"""),69.0)</f>
        <v>69</v>
      </c>
      <c r="B70" s="80" t="str">
        <f>IFERROR(__xludf.DUMMYFUNCTION("""COMPUTED_VALUE"""),"Mr Seshadri")</f>
        <v>Mr Seshadri</v>
      </c>
      <c r="C70" s="81">
        <f>IFERROR(__xludf.DUMMYFUNCTION("""COMPUTED_VALUE"""),4.0)</f>
        <v>4</v>
      </c>
      <c r="D70" s="82" t="str">
        <f>IFERROR(__xludf.DUMMYFUNCTION("""COMPUTED_VALUE"""),"Completed")</f>
        <v>Completed</v>
      </c>
      <c r="E70" s="86"/>
      <c r="F70" s="86"/>
      <c r="G70" s="87"/>
      <c r="H70" s="87"/>
      <c r="I70" s="85">
        <v>2024.0</v>
      </c>
      <c r="J70" s="86"/>
    </row>
    <row r="71">
      <c r="A71" s="88">
        <f>IFERROR(__xludf.DUMMYFUNCTION("""COMPUTED_VALUE"""),70.0)</f>
        <v>70</v>
      </c>
      <c r="B71" s="90" t="str">
        <f>IFERROR(__xludf.DUMMYFUNCTION("""COMPUTED_VALUE"""),"SLNC")</f>
        <v>SLNC</v>
      </c>
      <c r="C71" s="89">
        <f>IFERROR(__xludf.DUMMYFUNCTION("""COMPUTED_VALUE"""),13.5)</f>
        <v>13.5</v>
      </c>
      <c r="D71" s="82" t="str">
        <f>IFERROR(__xludf.DUMMYFUNCTION("""COMPUTED_VALUE"""),"Completed")</f>
        <v>Completed</v>
      </c>
      <c r="E71" s="86">
        <f>IFERROR(__xludf.DUMMYFUNCTION("IMPORTRANGE(""https://docs.google.com/spreadsheets/d/1MPTUzoenWkcN9ufbkfrgsiy32X0wETrFm-QfEdpR5ZU/edit?gid=0#gid=0"",""Project details!B12"")"),877958.0)</f>
        <v>877958</v>
      </c>
      <c r="F71" s="86">
        <f>IFERROR(__xludf.DUMMYFUNCTION("IMPORTRANGE(""https://docs.google.com/spreadsheets/d/1MPTUzoenWkcN9ufbkfrgsiy32X0wETrFm-QfEdpR5ZU/edit?gid=0#gid=0"",""Project details!B13"")"),542179.796)</f>
        <v>542179.796</v>
      </c>
      <c r="G71" s="87">
        <f>IFERROR(__xludf.DUMMYFUNCTION("IMPORTRANGE(""https://docs.google.com/spreadsheets/d/1MPTUzoenWkcN9ufbkfrgsiy32X0wETrFm-QfEdpR5ZU/edit?gid=0#gid=0"",""Project details!D12"")"),0.1)</f>
        <v>0.1</v>
      </c>
      <c r="H71" s="87">
        <f>IFERROR(__xludf.DUMMYFUNCTION("IMPORTRANGE(""https://docs.google.com/spreadsheets/d/1MPTUzoenWkcN9ufbkfrgsiy32X0wETrFm-QfEdpR5ZU/edit?gid=0#gid=0"",""Project details!D13"")"),0.3824536071201584)</f>
        <v>0.3824536071</v>
      </c>
      <c r="I71" s="85">
        <v>2024.0</v>
      </c>
      <c r="J71" s="83">
        <f>(E71-F71)</f>
        <v>335778.204</v>
      </c>
    </row>
    <row r="72">
      <c r="A72" s="88">
        <f>IFERROR(__xludf.DUMMYFUNCTION("""COMPUTED_VALUE"""),71.0)</f>
        <v>71</v>
      </c>
      <c r="B72" s="80" t="str">
        <f>IFERROR(__xludf.DUMMYFUNCTION("""COMPUTED_VALUE"""),"Mr Lakshmanan")</f>
        <v>Mr Lakshmanan</v>
      </c>
      <c r="C72" s="81">
        <f>IFERROR(__xludf.DUMMYFUNCTION("""COMPUTED_VALUE"""),3.3)</f>
        <v>3.3</v>
      </c>
      <c r="D72" s="82" t="str">
        <f>IFERROR(__xludf.DUMMYFUNCTION("""COMPUTED_VALUE"""),"Completed")</f>
        <v>Completed</v>
      </c>
      <c r="E72" s="86"/>
      <c r="F72" s="86"/>
      <c r="G72" s="87"/>
      <c r="H72" s="87"/>
      <c r="I72" s="85">
        <v>2024.0</v>
      </c>
      <c r="J72" s="86"/>
    </row>
    <row r="73">
      <c r="A73" s="88">
        <f>IFERROR(__xludf.DUMMYFUNCTION("""COMPUTED_VALUE"""),72.0)</f>
        <v>72</v>
      </c>
      <c r="B73" s="80" t="str">
        <f>IFERROR(__xludf.DUMMYFUNCTION("""COMPUTED_VALUE"""),"SSBPL KP Puram")</f>
        <v>SSBPL KP Puram</v>
      </c>
      <c r="C73" s="81">
        <f>IFERROR(__xludf.DUMMYFUNCTION("""COMPUTED_VALUE"""),8.0)</f>
        <v>8</v>
      </c>
      <c r="D73" s="82" t="str">
        <f>IFERROR(__xludf.DUMMYFUNCTION("""COMPUTED_VALUE"""),"Completed")</f>
        <v>Completed</v>
      </c>
      <c r="E73" s="86"/>
      <c r="F73" s="86"/>
      <c r="G73" s="87"/>
      <c r="H73" s="87"/>
      <c r="I73" s="85">
        <v>2024.0</v>
      </c>
      <c r="J73" s="86"/>
    </row>
    <row r="74">
      <c r="A74" s="88">
        <f>IFERROR(__xludf.DUMMYFUNCTION("""COMPUTED_VALUE"""),73.0)</f>
        <v>73</v>
      </c>
      <c r="B74" s="90" t="str">
        <f>IFERROR(__xludf.DUMMYFUNCTION("""COMPUTED_VALUE"""),"Mr Chakrapani")</f>
        <v>Mr Chakrapani</v>
      </c>
      <c r="C74" s="89">
        <f>IFERROR(__xludf.DUMMYFUNCTION("""COMPUTED_VALUE"""),4.4)</f>
        <v>4.4</v>
      </c>
      <c r="D74" s="82" t="str">
        <f>IFERROR(__xludf.DUMMYFUNCTION("""COMPUTED_VALUE"""),"Completed")</f>
        <v>Completed</v>
      </c>
      <c r="E74" s="86">
        <f>IFERROR(__xludf.DUMMYFUNCTION("IMPORTRANGE(""https://docs.google.com/spreadsheets/d/1Cud0tvcN406dErX05DdjbLAxuixOTLaMhG9dFl38_mc/edit?gid=0#gid=0"",""Project details!B12"")"),255000.0)</f>
        <v>255000</v>
      </c>
      <c r="F74" s="86">
        <f>IFERROR(__xludf.DUMMYFUNCTION("IMPORTRANGE(""https://docs.google.com/spreadsheets/d/1Cud0tvcN406dErX05DdjbLAxuixOTLaMhG9dFl38_mc/edit?gid=0#gid=0"",""Project details!B13"")"),217981.036)</f>
        <v>217981.036</v>
      </c>
      <c r="G74" s="87">
        <f>IFERROR(__xludf.DUMMYFUNCTION("IMPORTRANGE(""https://docs.google.com/spreadsheets/d/1Cud0tvcN406dErX05DdjbLAxuixOTLaMhG9dFl38_mc/edit?gid=0#gid=0"",""Project details!D12"")"),0.1)</f>
        <v>0.1</v>
      </c>
      <c r="H74" s="87">
        <f>IFERROR(__xludf.DUMMYFUNCTION("IMPORTRANGE(""https://docs.google.com/spreadsheets/d/1Cud0tvcN406dErX05DdjbLAxuixOTLaMhG9dFl38_mc/edit?gid=0#gid=0"",""Project details!D13"")"),0.14517240784313729)</f>
        <v>0.1451724078</v>
      </c>
      <c r="I74" s="85">
        <v>2024.0</v>
      </c>
      <c r="J74" s="86">
        <f t="shared" ref="J74:J75" si="2">(E74-F74)</f>
        <v>37018.964</v>
      </c>
    </row>
    <row r="75">
      <c r="A75" s="80">
        <f>IFERROR(__xludf.DUMMYFUNCTION("""COMPUTED_VALUE"""),74.0)</f>
        <v>74</v>
      </c>
      <c r="B75" s="90" t="str">
        <f>IFERROR(__xludf.DUMMYFUNCTION("""COMPUTED_VALUE"""),"Lancor Infinys")</f>
        <v>Lancor Infinys</v>
      </c>
      <c r="C75" s="81">
        <f>IFERROR(__xludf.DUMMYFUNCTION("""COMPUTED_VALUE"""),20.0)</f>
        <v>20</v>
      </c>
      <c r="D75" s="82" t="str">
        <f>IFERROR(__xludf.DUMMYFUNCTION("""COMPUTED_VALUE"""),"Completed")</f>
        <v>Completed</v>
      </c>
      <c r="E75" s="86">
        <f>IFERROR(__xludf.DUMMYFUNCTION("IMPORTRANGE(""https://docs.google.com/spreadsheets/d/1Wz3Qwv-n8Z2MevtMCgE2hv51J4lQejmpbh3wVC6rA74/edit?gid=0#gid=0"",""Project details!B12"")"),853575.0)</f>
        <v>853575</v>
      </c>
      <c r="F75" s="86">
        <f>IFERROR(__xludf.DUMMYFUNCTION("IMPORTRANGE(""https://docs.google.com/spreadsheets/d/1Wz3Qwv-n8Z2MevtMCgE2hv51J4lQejmpbh3wVC6rA74/edit?gid=0#gid=0"",""Project details!B13"")"),647277.3200000001)</f>
        <v>647277.32</v>
      </c>
      <c r="G75" s="87">
        <f>IFERROR(__xludf.DUMMYFUNCTION("IMPORTRANGE(""https://docs.google.com/spreadsheets/d/1Wz3Qwv-n8Z2MevtMCgE2hv51J4lQejmpbh3wVC6rA74/edit?gid=0#gid=0"",""Project details!D12"")"),0.1)</f>
        <v>0.1</v>
      </c>
      <c r="H75" s="87">
        <f>IFERROR(__xludf.DUMMYFUNCTION("IMPORTRANGE(""https://docs.google.com/spreadsheets/d/1Wz3Qwv-n8Z2MevtMCgE2hv51J4lQejmpbh3wVC6rA74/edit?gid=0#gid=0"",""Project details!D13"")"),0.24168664733620354)</f>
        <v>0.2416866473</v>
      </c>
      <c r="I75" s="85">
        <v>2024.0</v>
      </c>
      <c r="J75" s="86">
        <f t="shared" si="2"/>
        <v>206297.68</v>
      </c>
    </row>
    <row r="76">
      <c r="A76" s="98">
        <f>IFERROR(__xludf.DUMMYFUNCTION("""COMPUTED_VALUE"""),75.0)</f>
        <v>75</v>
      </c>
      <c r="B76" s="92" t="str">
        <f>IFERROR(__xludf.DUMMYFUNCTION("""COMPUTED_VALUE"""),"Ramaniyam Adhri")</f>
        <v>Ramaniyam Adhri</v>
      </c>
      <c r="C76" s="93">
        <f>IFERROR(__xludf.DUMMYFUNCTION("""COMPUTED_VALUE"""),2.2)</f>
        <v>2.2</v>
      </c>
      <c r="D76" s="94" t="str">
        <f>IFERROR(__xludf.DUMMYFUNCTION("""COMPUTED_VALUE"""),"Completed")</f>
        <v>Completed</v>
      </c>
      <c r="E76" s="95">
        <f>IFERROR(__xludf.DUMMYFUNCTION("IMPORTRANGE(""https://docs.google.com/spreadsheets/d/1_4A5nLjh9o4X84Cx8_rUNW_CqgSnj0d2exmlxnCaANs/edit?gid=947125482#gid=947125482"",""Project details!B12"")"),169244.0)</f>
        <v>169244</v>
      </c>
      <c r="F76" s="107">
        <f>IFERROR(__xludf.DUMMYFUNCTION("IMPORTRANGE(""https://docs.google.com/spreadsheets/d/1_4A5nLjh9o4X84Cx8_rUNW_CqgSnj0d2exmlxnCaANs/edit?gid=947125482#gid=947125482"",""Project details!B13"")"),98761.516)</f>
        <v>98761.516</v>
      </c>
      <c r="G76" s="96">
        <f>IFERROR(__xludf.DUMMYFUNCTION("IMPORTRANGE(""https://docs.google.com/spreadsheets/d/1_4A5nLjh9o4X84Cx8_rUNW_CqgSnj0d2exmlxnCaANs/edit?gid=947125482#gid=947125482"",""Project details!D12"")"),0.1)</f>
        <v>0.1</v>
      </c>
      <c r="H76" s="96">
        <f>IFERROR(__xludf.DUMMYFUNCTION("IMPORTRANGE(""https://docs.google.com/spreadsheets/d/1_4A5nLjh9o4X84Cx8_rUNW_CqgSnj0d2exmlxnCaANs/edit?gid=947125482#gid=947125482"",""Project details!D13"")"),0.4164548462574744)</f>
        <v>0.4164548463</v>
      </c>
      <c r="I76" s="97">
        <v>2024.0</v>
      </c>
      <c r="J76" s="95">
        <f>E76-F76</f>
        <v>70482.484</v>
      </c>
    </row>
    <row r="77">
      <c r="A77" s="88">
        <f>IFERROR(__xludf.DUMMYFUNCTION("""COMPUTED_VALUE"""),76.0)</f>
        <v>76</v>
      </c>
      <c r="B77" s="80" t="str">
        <f>IFERROR(__xludf.DUMMYFUNCTION("""COMPUTED_VALUE"""),"Mr MV Srinivasan")</f>
        <v>Mr MV Srinivasan</v>
      </c>
      <c r="C77" s="81">
        <f>IFERROR(__xludf.DUMMYFUNCTION("""COMPUTED_VALUE"""),13.2)</f>
        <v>13.2</v>
      </c>
      <c r="D77" s="82" t="str">
        <f>IFERROR(__xludf.DUMMYFUNCTION("""COMPUTED_VALUE"""),"Completed")</f>
        <v>Completed</v>
      </c>
      <c r="E77" s="86"/>
      <c r="F77" s="86"/>
      <c r="G77" s="87"/>
      <c r="H77" s="87"/>
      <c r="I77" s="85">
        <v>2024.0</v>
      </c>
      <c r="J77" s="86"/>
    </row>
    <row r="78">
      <c r="A78" s="88">
        <f>IFERROR(__xludf.DUMMYFUNCTION("""COMPUTED_VALUE"""),77.0)</f>
        <v>77</v>
      </c>
      <c r="B78" s="80" t="str">
        <f>IFERROR(__xludf.DUMMYFUNCTION("""COMPUTED_VALUE"""),"Mr Kesav Anand")</f>
        <v>Mr Kesav Anand</v>
      </c>
      <c r="C78" s="81">
        <f>IFERROR(__xludf.DUMMYFUNCTION("""COMPUTED_VALUE"""),2.2)</f>
        <v>2.2</v>
      </c>
      <c r="D78" s="82" t="str">
        <f>IFERROR(__xludf.DUMMYFUNCTION("""COMPUTED_VALUE"""),"Completed")</f>
        <v>Completed</v>
      </c>
      <c r="E78" s="86"/>
      <c r="F78" s="86"/>
      <c r="G78" s="87"/>
      <c r="H78" s="87"/>
      <c r="I78" s="85">
        <v>2024.0</v>
      </c>
      <c r="J78" s="86"/>
    </row>
    <row r="79">
      <c r="A79" s="80">
        <f>IFERROR(__xludf.DUMMYFUNCTION("""COMPUTED_VALUE"""),78.0)</f>
        <v>78</v>
      </c>
      <c r="B79" s="80" t="str">
        <f>IFERROR(__xludf.DUMMYFUNCTION("""COMPUTED_VALUE"""),"Khurinji's Acanthus")</f>
        <v>Khurinji's Acanthus</v>
      </c>
      <c r="C79" s="81">
        <f>IFERROR(__xludf.DUMMYFUNCTION("""COMPUTED_VALUE"""),5.0)</f>
        <v>5</v>
      </c>
      <c r="D79" s="82" t="str">
        <f>IFERROR(__xludf.DUMMYFUNCTION("""COMPUTED_VALUE"""),"Completed")</f>
        <v>Completed</v>
      </c>
      <c r="E79" s="86"/>
      <c r="F79" s="86"/>
      <c r="G79" s="87"/>
      <c r="H79" s="87"/>
      <c r="I79" s="85">
        <v>2024.0</v>
      </c>
      <c r="J79" s="86"/>
    </row>
    <row r="80">
      <c r="A80" s="80">
        <f>IFERROR(__xludf.DUMMYFUNCTION("""COMPUTED_VALUE"""),79.0)</f>
        <v>79</v>
      </c>
      <c r="B80" s="80" t="str">
        <f>IFERROR(__xludf.DUMMYFUNCTION("""COMPUTED_VALUE"""),"Shree Niketan")</f>
        <v>Shree Niketan</v>
      </c>
      <c r="C80" s="81">
        <f>IFERROR(__xludf.DUMMYFUNCTION("""COMPUTED_VALUE"""),9.0)</f>
        <v>9</v>
      </c>
      <c r="D80" s="82" t="str">
        <f>IFERROR(__xludf.DUMMYFUNCTION("""COMPUTED_VALUE"""),"Completed")</f>
        <v>Completed</v>
      </c>
      <c r="E80" s="86"/>
      <c r="F80" s="86"/>
      <c r="G80" s="87"/>
      <c r="H80" s="87"/>
      <c r="I80" s="85">
        <v>2024.0</v>
      </c>
      <c r="J80" s="86"/>
    </row>
    <row r="81">
      <c r="A81" s="88">
        <f>IFERROR(__xludf.DUMMYFUNCTION("""COMPUTED_VALUE"""),80.0)</f>
        <v>80</v>
      </c>
      <c r="B81" s="80" t="str">
        <f>IFERROR(__xludf.DUMMYFUNCTION("""COMPUTED_VALUE"""),"Geeyam Nandhini")</f>
        <v>Geeyam Nandhini</v>
      </c>
      <c r="C81" s="81">
        <f>IFERROR(__xludf.DUMMYFUNCTION("""COMPUTED_VALUE"""),4.0)</f>
        <v>4</v>
      </c>
      <c r="D81" s="82" t="str">
        <f>IFERROR(__xludf.DUMMYFUNCTION("""COMPUTED_VALUE"""),"Completed")</f>
        <v>Completed</v>
      </c>
      <c r="E81" s="86"/>
      <c r="F81" s="86"/>
      <c r="G81" s="87"/>
      <c r="H81" s="87"/>
      <c r="I81" s="85">
        <v>2024.0</v>
      </c>
      <c r="J81" s="86"/>
    </row>
    <row r="82">
      <c r="A82" s="88">
        <f>IFERROR(__xludf.DUMMYFUNCTION("""COMPUTED_VALUE"""),81.0)</f>
        <v>81</v>
      </c>
      <c r="B82" s="80" t="str">
        <f>IFERROR(__xludf.DUMMYFUNCTION("""COMPUTED_VALUE"""),"4 Bricks")</f>
        <v>4 Bricks</v>
      </c>
      <c r="C82" s="81">
        <f>IFERROR(__xludf.DUMMYFUNCTION("""COMPUTED_VALUE"""),5.0)</f>
        <v>5</v>
      </c>
      <c r="D82" s="82" t="str">
        <f>IFERROR(__xludf.DUMMYFUNCTION("""COMPUTED_VALUE"""),"Completed")</f>
        <v>Completed</v>
      </c>
      <c r="E82" s="86"/>
      <c r="F82" s="86"/>
      <c r="G82" s="87"/>
      <c r="H82" s="87"/>
      <c r="I82" s="85">
        <v>2024.0</v>
      </c>
      <c r="J82" s="86"/>
    </row>
    <row r="83">
      <c r="A83" s="88">
        <f>IFERROR(__xludf.DUMMYFUNCTION("""COMPUTED_VALUE"""),82.0)</f>
        <v>82</v>
      </c>
      <c r="B83" s="80" t="str">
        <f>IFERROR(__xludf.DUMMYFUNCTION("""COMPUTED_VALUE"""),"GRN Bakhavachalam")</f>
        <v>GRN Bakhavachalam</v>
      </c>
      <c r="C83" s="81">
        <f>IFERROR(__xludf.DUMMYFUNCTION("""COMPUTED_VALUE"""),2.0)</f>
        <v>2</v>
      </c>
      <c r="D83" s="82" t="str">
        <f>IFERROR(__xludf.DUMMYFUNCTION("""COMPUTED_VALUE"""),"Completed")</f>
        <v>Completed</v>
      </c>
      <c r="E83" s="86"/>
      <c r="F83" s="86"/>
      <c r="G83" s="87"/>
      <c r="H83" s="87"/>
      <c r="I83" s="85">
        <v>2024.0</v>
      </c>
      <c r="J83" s="86"/>
    </row>
    <row r="84">
      <c r="A84" s="88">
        <f>IFERROR(__xludf.DUMMYFUNCTION("""COMPUTED_VALUE"""),83.0)</f>
        <v>83</v>
      </c>
      <c r="B84" s="80" t="str">
        <f>IFERROR(__xludf.DUMMYFUNCTION("""COMPUTED_VALUE"""),"GRN CP Ramasamy")</f>
        <v>GRN CP Ramasamy</v>
      </c>
      <c r="C84" s="81">
        <f>IFERROR(__xludf.DUMMYFUNCTION("""COMPUTED_VALUE"""),2.0)</f>
        <v>2</v>
      </c>
      <c r="D84" s="82" t="str">
        <f>IFERROR(__xludf.DUMMYFUNCTION("""COMPUTED_VALUE"""),"Completed")</f>
        <v>Completed</v>
      </c>
      <c r="E84" s="86"/>
      <c r="F84" s="86"/>
      <c r="G84" s="87"/>
      <c r="H84" s="87"/>
      <c r="I84" s="85">
        <v>2024.0</v>
      </c>
      <c r="J84" s="86"/>
    </row>
    <row r="85">
      <c r="A85" s="88">
        <f>IFERROR(__xludf.DUMMYFUNCTION("""COMPUTED_VALUE"""),84.0)</f>
        <v>84</v>
      </c>
      <c r="B85" s="80" t="str">
        <f>IFERROR(__xludf.DUMMYFUNCTION("""COMPUTED_VALUE"""),"Mr Arangarajan")</f>
        <v>Mr Arangarajan</v>
      </c>
      <c r="C85" s="81">
        <f>IFERROR(__xludf.DUMMYFUNCTION("""COMPUTED_VALUE"""),5.0)</f>
        <v>5</v>
      </c>
      <c r="D85" s="82" t="str">
        <f>IFERROR(__xludf.DUMMYFUNCTION("""COMPUTED_VALUE"""),"Completed")</f>
        <v>Completed</v>
      </c>
      <c r="E85" s="86"/>
      <c r="F85" s="86"/>
      <c r="G85" s="87"/>
      <c r="H85" s="87"/>
      <c r="I85" s="85">
        <v>2024.0</v>
      </c>
      <c r="J85" s="86"/>
    </row>
    <row r="86">
      <c r="A86" s="80">
        <f>IFERROR(__xludf.DUMMYFUNCTION("""COMPUTED_VALUE"""),85.0)</f>
        <v>85</v>
      </c>
      <c r="B86" s="80" t="str">
        <f>IFERROR(__xludf.DUMMYFUNCTION("""COMPUTED_VALUE"""),"Mr C Kumar")</f>
        <v>Mr C Kumar</v>
      </c>
      <c r="C86" s="81">
        <f>IFERROR(__xludf.DUMMYFUNCTION("""COMPUTED_VALUE"""),3.2)</f>
        <v>3.2</v>
      </c>
      <c r="D86" s="82" t="str">
        <f>IFERROR(__xludf.DUMMYFUNCTION("""COMPUTED_VALUE"""),"Completed")</f>
        <v>Completed</v>
      </c>
      <c r="E86" s="86"/>
      <c r="F86" s="86"/>
      <c r="G86" s="87"/>
      <c r="H86" s="87"/>
      <c r="I86" s="85">
        <v>2024.0</v>
      </c>
      <c r="J86" s="86"/>
    </row>
    <row r="87">
      <c r="A87" s="80">
        <f>IFERROR(__xludf.DUMMYFUNCTION("""COMPUTED_VALUE"""),86.0)</f>
        <v>86</v>
      </c>
      <c r="B87" s="80" t="str">
        <f>IFERROR(__xludf.DUMMYFUNCTION("""COMPUTED_VALUE"""),"Mr Sangeetha")</f>
        <v>Mr Sangeetha</v>
      </c>
      <c r="C87" s="81">
        <f>IFERROR(__xludf.DUMMYFUNCTION("""COMPUTED_VALUE"""),5.5)</f>
        <v>5.5</v>
      </c>
      <c r="D87" s="82" t="str">
        <f>IFERROR(__xludf.DUMMYFUNCTION("""COMPUTED_VALUE"""),"Completed")</f>
        <v>Completed</v>
      </c>
      <c r="E87" s="86"/>
      <c r="F87" s="86"/>
      <c r="G87" s="87"/>
      <c r="H87" s="87"/>
      <c r="I87" s="85">
        <v>2024.0</v>
      </c>
      <c r="J87" s="86"/>
    </row>
    <row r="88">
      <c r="A88" s="88">
        <f>IFERROR(__xludf.DUMMYFUNCTION("""COMPUTED_VALUE"""),87.0)</f>
        <v>87</v>
      </c>
      <c r="B88" s="90" t="str">
        <f>IFERROR(__xludf.DUMMYFUNCTION("""COMPUTED_VALUE"""),"Navins Vyakarana")</f>
        <v>Navins Vyakarana</v>
      </c>
      <c r="C88" s="81">
        <f>IFERROR(__xludf.DUMMYFUNCTION("""COMPUTED_VALUE"""),5.0)</f>
        <v>5</v>
      </c>
      <c r="D88" s="82" t="str">
        <f>IFERROR(__xludf.DUMMYFUNCTION("""COMPUTED_VALUE"""),"Completed")</f>
        <v>Completed</v>
      </c>
      <c r="E88" s="86">
        <f>IFERROR(__xludf.DUMMYFUNCTION("IMPORTRANGE(""https://docs.google.com/spreadsheets/d/1bq33kJbhESczCL4E6yd_WpJZtShGZVCCyXgWooC-e_o/edit?gid=0#gid=0"",""Project details!B12"")"),258834.0)</f>
        <v>258834</v>
      </c>
      <c r="F88" s="86">
        <f>IFERROR(__xludf.DUMMYFUNCTION("IMPORTRANGE(""https://docs.google.com/spreadsheets/d/1bq33kJbhESczCL4E6yd_WpJZtShGZVCCyXgWooC-e_o/edit?gid=0#gid=0"",""Project details!B13"")"),193477.13199999995)</f>
        <v>193477.132</v>
      </c>
      <c r="G88" s="87">
        <f>IFERROR(__xludf.DUMMYFUNCTION("IMPORTRANGE(""https://docs.google.com/spreadsheets/d/1bq33kJbhESczCL4E6yd_WpJZtShGZVCCyXgWooC-e_o/edit?gid=0#gid=0"",""Project details!D12"")"),0.1)</f>
        <v>0.1</v>
      </c>
      <c r="H88" s="87">
        <f>IFERROR(__xludf.DUMMYFUNCTION("IMPORTRANGE(""https://docs.google.com/spreadsheets/d/1bq33kJbhESczCL4E6yd_WpJZtShGZVCCyXgWooC-e_o/edit?gid=0#gid=0"",""Project details!D13"")"),0.2525049568449278)</f>
        <v>0.2525049568</v>
      </c>
      <c r="I88" s="85">
        <v>2024.0</v>
      </c>
      <c r="J88" s="86">
        <f t="shared" ref="J88:J89" si="3">(E88-F88)</f>
        <v>65356.868</v>
      </c>
    </row>
    <row r="89">
      <c r="A89" s="88">
        <f>IFERROR(__xludf.DUMMYFUNCTION("""COMPUTED_VALUE"""),88.0)</f>
        <v>88</v>
      </c>
      <c r="B89" s="90" t="str">
        <f>IFERROR(__xludf.DUMMYFUNCTION("""COMPUTED_VALUE"""),"Vgk Saiharithik")</f>
        <v>Vgk Saiharithik</v>
      </c>
      <c r="C89" s="81">
        <f>IFERROR(__xludf.DUMMYFUNCTION("""COMPUTED_VALUE"""),5.0)</f>
        <v>5</v>
      </c>
      <c r="D89" s="82" t="str">
        <f>IFERROR(__xludf.DUMMYFUNCTION("""COMPUTED_VALUE"""),"Completed")</f>
        <v>Completed</v>
      </c>
      <c r="E89" s="86">
        <f>IFERROR(__xludf.DUMMYFUNCTION("IMPORTRANGE(""https://docs.google.com/spreadsheets/d/1xXURpg-ineFXaCh1gz0AULbr842-UyzGD58ZwAmtIkE/edit?gid=0#gid=0"",""Project details!B12"")"),316000.0)</f>
        <v>316000</v>
      </c>
      <c r="F89" s="86">
        <f>IFERROR(__xludf.DUMMYFUNCTION("IMPORTRANGE(""https://docs.google.com/spreadsheets/d/1xXURpg-ineFXaCh1gz0AULbr842-UyzGD58ZwAmtIkE/edit?gid=0#gid=0"",""Project details!B13"")"),241858.04)</f>
        <v>241858.04</v>
      </c>
      <c r="G89" s="87">
        <f>IFERROR(__xludf.DUMMYFUNCTION("IMPORTRANGE(""https://docs.google.com/spreadsheets/d/1xXURpg-ineFXaCh1gz0AULbr842-UyzGD58ZwAmtIkE/edit?gid=0#gid=0"",""Project details!D12"")"),0.1)</f>
        <v>0.1</v>
      </c>
      <c r="H89" s="87">
        <f>IFERROR(__xludf.DUMMYFUNCTION("IMPORTRANGE(""https://docs.google.com/spreadsheets/d/1xXURpg-ineFXaCh1gz0AULbr842-UyzGD58ZwAmtIkE/edit?gid=0#gid=0"",""Project details!D13"")"),0.2346264556962025)</f>
        <v>0.2346264557</v>
      </c>
      <c r="I89" s="85">
        <v>2024.0</v>
      </c>
      <c r="J89" s="83">
        <f t="shared" si="3"/>
        <v>74141.96</v>
      </c>
    </row>
    <row r="90">
      <c r="A90" s="80">
        <f>IFERROR(__xludf.DUMMYFUNCTION("""COMPUTED_VALUE"""),89.0)</f>
        <v>89</v>
      </c>
      <c r="B90" s="80" t="str">
        <f>IFERROR(__xludf.DUMMYFUNCTION("""COMPUTED_VALUE"""),"Mr Vigneswaran")</f>
        <v>Mr Vigneswaran</v>
      </c>
      <c r="C90" s="81">
        <f>IFERROR(__xludf.DUMMYFUNCTION("""COMPUTED_VALUE"""),3.3)</f>
        <v>3.3</v>
      </c>
      <c r="D90" s="82" t="str">
        <f>IFERROR(__xludf.DUMMYFUNCTION("""COMPUTED_VALUE"""),"Completed")</f>
        <v>Completed</v>
      </c>
      <c r="E90" s="86"/>
      <c r="F90" s="86"/>
      <c r="G90" s="87"/>
      <c r="H90" s="87"/>
      <c r="I90" s="85">
        <v>2024.0</v>
      </c>
      <c r="J90" s="86"/>
    </row>
    <row r="91">
      <c r="A91" s="80">
        <f>IFERROR(__xludf.DUMMYFUNCTION("""COMPUTED_VALUE"""),90.0)</f>
        <v>90</v>
      </c>
      <c r="B91" s="90" t="str">
        <f>IFERROR(__xludf.DUMMYFUNCTION("""COMPUTED_VALUE"""),"Vinayaga Infratech")</f>
        <v>Vinayaga Infratech</v>
      </c>
      <c r="C91" s="81">
        <f>IFERROR(__xludf.DUMMYFUNCTION("""COMPUTED_VALUE"""),5.0)</f>
        <v>5</v>
      </c>
      <c r="D91" s="82" t="str">
        <f>IFERROR(__xludf.DUMMYFUNCTION("""COMPUTED_VALUE"""),"Completed")</f>
        <v>Completed</v>
      </c>
      <c r="E91" s="86">
        <f>IFERROR(__xludf.DUMMYFUNCTION("IMPORTRANGE(""https://docs.google.com/spreadsheets/d/1BhRUNKzGZpcoVyi6pOy26Zt5Q-wZl_v5m7GySI7-Smw/edit?gid=0#gid=0"",""project details!B12"")"),255000.0)</f>
        <v>255000</v>
      </c>
      <c r="F91" s="86">
        <f>IFERROR(__xludf.DUMMYFUNCTION("IMPORTRANGE(""https://docs.google.com/spreadsheets/d/1BhRUNKzGZpcoVyi6pOy26Zt5Q-wZl_v5m7GySI7-Smw/edit?gid=0#gid=0"",""project details!B13"")"),169133.82000000007)</f>
        <v>169133.82</v>
      </c>
      <c r="G91" s="87">
        <f>IFERROR(__xludf.DUMMYFUNCTION("IMPORTRANGE(""https://docs.google.com/spreadsheets/d/1BhRUNKzGZpcoVyi6pOy26Zt5Q-wZl_v5m7GySI7-Smw/edit?gid=0#gid=0"",""project details!D12"")"),0.1)</f>
        <v>0.1</v>
      </c>
      <c r="H91" s="87">
        <f>IFERROR(__xludf.DUMMYFUNCTION("IMPORTRANGE(""https://docs.google.com/spreadsheets/d/1BhRUNKzGZpcoVyi6pOy26Zt5Q-wZl_v5m7GySI7-Smw/edit?gid=0#gid=0"",""project details!D13"")"),0.33673011764705857)</f>
        <v>0.3367301176</v>
      </c>
      <c r="I91" s="85">
        <v>2024.0</v>
      </c>
      <c r="J91" s="86">
        <f>(E91-F91)</f>
        <v>85866.18</v>
      </c>
    </row>
    <row r="92">
      <c r="A92" s="88">
        <f>IFERROR(__xludf.DUMMYFUNCTION("""COMPUTED_VALUE"""),91.0)</f>
        <v>91</v>
      </c>
      <c r="B92" s="80" t="str">
        <f>IFERROR(__xludf.DUMMYFUNCTION("""COMPUTED_VALUE"""),"Mr Ramkumar")</f>
        <v>Mr Ramkumar</v>
      </c>
      <c r="C92" s="81">
        <f>IFERROR(__xludf.DUMMYFUNCTION("""COMPUTED_VALUE"""),3.3)</f>
        <v>3.3</v>
      </c>
      <c r="D92" s="82" t="str">
        <f>IFERROR(__xludf.DUMMYFUNCTION("""COMPUTED_VALUE"""),"Completed")</f>
        <v>Completed</v>
      </c>
      <c r="E92" s="86"/>
      <c r="F92" s="86"/>
      <c r="G92" s="87"/>
      <c r="H92" s="87"/>
      <c r="I92" s="85">
        <v>2024.0</v>
      </c>
      <c r="J92" s="86"/>
    </row>
    <row r="93">
      <c r="A93" s="88">
        <f>IFERROR(__xludf.DUMMYFUNCTION("""COMPUTED_VALUE"""),92.0)</f>
        <v>92</v>
      </c>
      <c r="B93" s="80" t="str">
        <f>IFERROR(__xludf.DUMMYFUNCTION("""COMPUTED_VALUE"""),"Ms. Sridevi")</f>
        <v>Ms. Sridevi</v>
      </c>
      <c r="C93" s="81">
        <f>IFERROR(__xludf.DUMMYFUNCTION("""COMPUTED_VALUE"""),3.3)</f>
        <v>3.3</v>
      </c>
      <c r="D93" s="82" t="str">
        <f>IFERROR(__xludf.DUMMYFUNCTION("""COMPUTED_VALUE"""),"Completed")</f>
        <v>Completed</v>
      </c>
      <c r="E93" s="86"/>
      <c r="F93" s="86"/>
      <c r="G93" s="87"/>
      <c r="H93" s="87"/>
      <c r="I93" s="85">
        <v>2024.0</v>
      </c>
      <c r="J93" s="86"/>
    </row>
    <row r="94">
      <c r="A94" s="88">
        <f>IFERROR(__xludf.DUMMYFUNCTION("""COMPUTED_VALUE"""),93.0)</f>
        <v>93</v>
      </c>
      <c r="B94" s="80" t="str">
        <f>IFERROR(__xludf.DUMMYFUNCTION("""COMPUTED_VALUE"""),"Mr Lakshman Raj")</f>
        <v>Mr Lakshman Raj</v>
      </c>
      <c r="C94" s="81">
        <f>IFERROR(__xludf.DUMMYFUNCTION("""COMPUTED_VALUE"""),3.3)</f>
        <v>3.3</v>
      </c>
      <c r="D94" s="82" t="str">
        <f>IFERROR(__xludf.DUMMYFUNCTION("""COMPUTED_VALUE"""),"Completed")</f>
        <v>Completed</v>
      </c>
      <c r="E94" s="86"/>
      <c r="F94" s="86"/>
      <c r="G94" s="87"/>
      <c r="H94" s="87"/>
      <c r="I94" s="85">
        <v>2024.0</v>
      </c>
      <c r="J94" s="86"/>
    </row>
    <row r="95">
      <c r="A95" s="88">
        <f>IFERROR(__xludf.DUMMYFUNCTION("""COMPUTED_VALUE"""),94.0)</f>
        <v>94</v>
      </c>
      <c r="B95" s="80" t="str">
        <f>IFERROR(__xludf.DUMMYFUNCTION("""COMPUTED_VALUE"""),"Mr Balaji")</f>
        <v>Mr Balaji</v>
      </c>
      <c r="C95" s="81">
        <f>IFERROR(__xludf.DUMMYFUNCTION("""COMPUTED_VALUE"""),3.3)</f>
        <v>3.3</v>
      </c>
      <c r="D95" s="82" t="str">
        <f>IFERROR(__xludf.DUMMYFUNCTION("""COMPUTED_VALUE"""),"Completed")</f>
        <v>Completed</v>
      </c>
      <c r="E95" s="86"/>
      <c r="F95" s="86"/>
      <c r="G95" s="87"/>
      <c r="H95" s="87"/>
      <c r="I95" s="85">
        <v>2024.0</v>
      </c>
      <c r="J95" s="86"/>
    </row>
    <row r="96">
      <c r="A96" s="88">
        <f>IFERROR(__xludf.DUMMYFUNCTION("""COMPUTED_VALUE"""),95.0)</f>
        <v>95</v>
      </c>
      <c r="B96" s="80" t="str">
        <f>IFERROR(__xludf.DUMMYFUNCTION("""COMPUTED_VALUE"""),"Mr Aatish")</f>
        <v>Mr Aatish</v>
      </c>
      <c r="C96" s="81">
        <f>IFERROR(__xludf.DUMMYFUNCTION("""COMPUTED_VALUE"""),3.3)</f>
        <v>3.3</v>
      </c>
      <c r="D96" s="82" t="str">
        <f>IFERROR(__xludf.DUMMYFUNCTION("""COMPUTED_VALUE"""),"Completed")</f>
        <v>Completed</v>
      </c>
      <c r="E96" s="86"/>
      <c r="F96" s="86"/>
      <c r="G96" s="87"/>
      <c r="H96" s="87"/>
      <c r="I96" s="85">
        <v>2024.0</v>
      </c>
      <c r="J96" s="86"/>
    </row>
    <row r="97">
      <c r="A97" s="80">
        <f>IFERROR(__xludf.DUMMYFUNCTION("""COMPUTED_VALUE"""),96.0)</f>
        <v>96</v>
      </c>
      <c r="B97" s="90" t="str">
        <f>IFERROR(__xludf.DUMMYFUNCTION("""COMPUTED_VALUE"""),"VGK Unity Kingdom")</f>
        <v>VGK Unity Kingdom</v>
      </c>
      <c r="C97" s="81">
        <f>IFERROR(__xludf.DUMMYFUNCTION("""COMPUTED_VALUE"""),10.0)</f>
        <v>10</v>
      </c>
      <c r="D97" s="82" t="str">
        <f>IFERROR(__xludf.DUMMYFUNCTION("""COMPUTED_VALUE"""),"Completed")</f>
        <v>Completed</v>
      </c>
      <c r="E97" s="86">
        <f>IFERROR(__xludf.DUMMYFUNCTION("IMPORTRANGE(""https://docs.google.com/spreadsheets/d/1MoAzn-3ySziDcUcDAhOBwulRaE-LB8FOl1EMkJSx0Zc/edit?gid=0#gid=0"",""project details!B12"")"),507212.0)</f>
        <v>507212</v>
      </c>
      <c r="F97" s="86">
        <f>IFERROR(__xludf.DUMMYFUNCTION("IMPORTRANGE(""https://docs.google.com/spreadsheets/d/1MoAzn-3ySziDcUcDAhOBwulRaE-LB8FOl1EMkJSx0Zc/edit?gid=0#gid=0"",""project details!B13"")"),370536.80000000005)</f>
        <v>370536.8</v>
      </c>
      <c r="G97" s="87">
        <f>IFERROR(__xludf.DUMMYFUNCTION("IMPORTRANGE(""https://docs.google.com/spreadsheets/d/1MoAzn-3ySziDcUcDAhOBwulRaE-LB8FOl1EMkJSx0Zc/edit?gid=0#gid=0"",""project details!D12"")"),0.1)</f>
        <v>0.1</v>
      </c>
      <c r="H97" s="87">
        <f>IFERROR(__xludf.DUMMYFUNCTION("IMPORTRANGE(""https://docs.google.com/spreadsheets/d/1MoAzn-3ySziDcUcDAhOBwulRaE-LB8FOl1EMkJSx0Zc/edit?gid=0#gid=0"",""project details!D13"")"),0.2694636562226445)</f>
        <v>0.2694636562</v>
      </c>
      <c r="I97" s="85">
        <v>2024.0</v>
      </c>
      <c r="J97" s="86">
        <f>E97-F97</f>
        <v>136675.2</v>
      </c>
    </row>
    <row r="98">
      <c r="A98" s="80">
        <f>IFERROR(__xludf.DUMMYFUNCTION("""COMPUTED_VALUE"""),97.0)</f>
        <v>97</v>
      </c>
      <c r="B98" s="90" t="str">
        <f>IFERROR(__xludf.DUMMYFUNCTION("""COMPUTED_VALUE"""),"VGK Summer Garden")</f>
        <v>VGK Summer Garden</v>
      </c>
      <c r="C98" s="81">
        <f>IFERROR(__xludf.DUMMYFUNCTION("""COMPUTED_VALUE"""),20.0)</f>
        <v>20</v>
      </c>
      <c r="D98" s="82" t="str">
        <f>IFERROR(__xludf.DUMMYFUNCTION("""COMPUTED_VALUE"""),"Completed")</f>
        <v>Completed</v>
      </c>
      <c r="E98" s="86">
        <f>IFERROR(__xludf.DUMMYFUNCTION("IMPORTRANGE(""https://docs.google.com/spreadsheets/d/1pu98keXrZa6DgvbqEkmNB8MfFMaB6b3RmG-4vY0CFOY/edit?gid=0#gid=0"",""Project details!B12"")"),1014424.0)</f>
        <v>1014424</v>
      </c>
      <c r="F98" s="86">
        <f>IFERROR(__xludf.DUMMYFUNCTION("IMPORTRANGE(""https://docs.google.com/spreadsheets/d/1pu98keXrZa6DgvbqEkmNB8MfFMaB6b3RmG-4vY0CFOY/edit?gid=0#gid=0"",""Project details!B13"")"),676482.7)</f>
        <v>676482.7</v>
      </c>
      <c r="G98" s="87">
        <f>IFERROR(__xludf.DUMMYFUNCTION("IMPORTRANGE(""https://docs.google.com/spreadsheets/d/1pu98keXrZa6DgvbqEkmNB8MfFMaB6b3RmG-4vY0CFOY/edit?gid=0#gid=0"",""Project details!D12"")"),0.1)</f>
        <v>0.1</v>
      </c>
      <c r="H98" s="87">
        <f>IFERROR(__xludf.DUMMYFUNCTION("IMPORTRANGE(""https://docs.google.com/spreadsheets/d/1pu98keXrZa6DgvbqEkmNB8MfFMaB6b3RmG-4vY0CFOY/edit?gid=0#gid=0"",""Project details!D13"")"),0.33313614425526217)</f>
        <v>0.3331361443</v>
      </c>
      <c r="I98" s="85">
        <v>2024.0</v>
      </c>
      <c r="J98" s="83">
        <f t="shared" ref="J98:J99" si="4">(E98-F98)</f>
        <v>337941.3</v>
      </c>
    </row>
    <row r="99">
      <c r="A99" s="88">
        <f>IFERROR(__xludf.DUMMYFUNCTION("""COMPUTED_VALUE"""),98.0)</f>
        <v>98</v>
      </c>
      <c r="B99" s="90" t="str">
        <f>IFERROR(__xludf.DUMMYFUNCTION("""COMPUTED_VALUE"""),"MSM Unit II, Phase III")</f>
        <v>MSM Unit II, Phase III</v>
      </c>
      <c r="C99" s="81">
        <f>IFERROR(__xludf.DUMMYFUNCTION("""COMPUTED_VALUE"""),250.0)</f>
        <v>250</v>
      </c>
      <c r="D99" s="82" t="str">
        <f>IFERROR(__xludf.DUMMYFUNCTION("""COMPUTED_VALUE"""),"Completed")</f>
        <v>Completed</v>
      </c>
      <c r="E99" s="86">
        <f>IFERROR(__xludf.DUMMYFUNCTION("IMPORTRANGE(""https://docs.google.com/spreadsheets/d/1ks4DS5ANO0UDBb-_EMEzXtnN-VbPgd5V63mn_AgRs2E/edit?gid=0#gid=0"",""Project details!B12"")"),9562500.0)</f>
        <v>9562500</v>
      </c>
      <c r="F99" s="86">
        <f>IFERROR(__xludf.DUMMYFUNCTION("IMPORTRANGE(""https://docs.google.com/spreadsheets/d/1ks4DS5ANO0UDBb-_EMEzXtnN-VbPgd5V63mn_AgRs2E/edit?gid=0#gid=0"",""Project details!B13"")"),7351732.9252)</f>
        <v>7351732.925</v>
      </c>
      <c r="G99" s="87">
        <f>IFERROR(__xludf.DUMMYFUNCTION("IMPORTRANGE(""https://docs.google.com/spreadsheets/d/1ks4DS5ANO0UDBb-_EMEzXtnN-VbPgd5V63mn_AgRs2E/edit?gid=0#gid=0"",""Project details!D12"")"),0.075)</f>
        <v>0.075</v>
      </c>
      <c r="H99" s="87">
        <f>IFERROR(__xludf.DUMMYFUNCTION("IMPORTRANGE(""https://docs.google.com/spreadsheets/d/1ks4DS5ANO0UDBb-_EMEzXtnN-VbPgd5V63mn_AgRs2E/edit?gid=0#gid=0"",""Project details!D13"")"),0.23119132808366008)</f>
        <v>0.2311913281</v>
      </c>
      <c r="I99" s="85">
        <v>2024.0</v>
      </c>
      <c r="J99" s="83">
        <f t="shared" si="4"/>
        <v>2210767.075</v>
      </c>
    </row>
    <row r="100">
      <c r="A100" s="88">
        <f>IFERROR(__xludf.DUMMYFUNCTION("""COMPUTED_VALUE"""),99.0)</f>
        <v>99</v>
      </c>
      <c r="B100" s="90" t="str">
        <f>IFERROR(__xludf.DUMMYFUNCTION("""COMPUTED_VALUE"""),"Ramaniyam Abinaya")</f>
        <v>Ramaniyam Abinaya</v>
      </c>
      <c r="C100" s="81">
        <f>IFERROR(__xludf.DUMMYFUNCTION("""COMPUTED_VALUE"""),3.3)</f>
        <v>3.3</v>
      </c>
      <c r="D100" s="82" t="str">
        <f>IFERROR(__xludf.DUMMYFUNCTION("""COMPUTED_VALUE"""),"Completed")</f>
        <v>Completed</v>
      </c>
      <c r="E100" s="86">
        <f>IFERROR(__xludf.DUMMYFUNCTION("IMPORTRANGE(""https://docs.google.com/spreadsheets/d/1nsDDhGP_VGpEX8P6IjrOksQvt6miynCM6Kfyt2rLwUQ/edit?gid=947125482#gid=947125482"",""Project details!B12"")"),192340.0)</f>
        <v>192340</v>
      </c>
      <c r="F100" s="86">
        <f>IFERROR(__xludf.DUMMYFUNCTION("IMPORTRANGE(""https://docs.google.com/spreadsheets/d/1nsDDhGP_VGpEX8P6IjrOksQvt6miynCM6Kfyt2rLwUQ/edit?gid=947125482#gid=947125482"",""Project details!B13"")"),111685.47600000001)</f>
        <v>111685.476</v>
      </c>
      <c r="G100" s="87">
        <f>IFERROR(__xludf.DUMMYFUNCTION("IMPORTRANGE(""https://docs.google.com/spreadsheets/d/1nsDDhGP_VGpEX8P6IjrOksQvt6miynCM6Kfyt2rLwUQ/edit?gid=947125482#gid=947125482"",""Project details!D12"")"),0.1)</f>
        <v>0.1</v>
      </c>
      <c r="H100" s="87">
        <f>IFERROR(__xludf.DUMMYFUNCTION("IMPORTRANGE(""https://docs.google.com/spreadsheets/d/1nsDDhGP_VGpEX8P6IjrOksQvt6miynCM6Kfyt2rLwUQ/edit?gid=947125482#gid=947125482"",""Project details!D13"")"),0.4193330768430903)</f>
        <v>0.4193330768</v>
      </c>
      <c r="I100" s="85">
        <v>2024.0</v>
      </c>
      <c r="J100" s="86">
        <f>E100-F100</f>
        <v>80654.524</v>
      </c>
    </row>
    <row r="101">
      <c r="A101" s="80">
        <f>IFERROR(__xludf.DUMMYFUNCTION("""COMPUTED_VALUE"""),100.0)</f>
        <v>100</v>
      </c>
      <c r="B101" s="80" t="str">
        <f>IFERROR(__xludf.DUMMYFUNCTION("""COMPUTED_VALUE"""),"Rite Choice")</f>
        <v>Rite Choice</v>
      </c>
      <c r="C101" s="81">
        <f>IFERROR(__xludf.DUMMYFUNCTION("""COMPUTED_VALUE"""),2.0)</f>
        <v>2</v>
      </c>
      <c r="D101" s="82" t="str">
        <f>IFERROR(__xludf.DUMMYFUNCTION("""COMPUTED_VALUE"""),"Completed")</f>
        <v>Completed</v>
      </c>
      <c r="E101" s="86"/>
      <c r="F101" s="86"/>
      <c r="G101" s="87"/>
      <c r="H101" s="87"/>
      <c r="I101" s="85">
        <v>2024.0</v>
      </c>
      <c r="J101" s="86"/>
    </row>
    <row r="102">
      <c r="A102" s="80">
        <f>IFERROR(__xludf.DUMMYFUNCTION("""COMPUTED_VALUE"""),101.0)</f>
        <v>101</v>
      </c>
      <c r="B102" s="90" t="str">
        <f>IFERROR(__xludf.DUMMYFUNCTION("""COMPUTED_VALUE"""),"S&amp;P Courtyard")</f>
        <v>S&amp;P Courtyard</v>
      </c>
      <c r="C102" s="81">
        <f>IFERROR(__xludf.DUMMYFUNCTION("""COMPUTED_VALUE"""),30.0)</f>
        <v>30</v>
      </c>
      <c r="D102" s="82" t="str">
        <f>IFERROR(__xludf.DUMMYFUNCTION("""COMPUTED_VALUE"""),"On Progress")</f>
        <v>On Progress</v>
      </c>
      <c r="E102" s="86">
        <f>IFERROR(__xludf.DUMMYFUNCTION("IMPORTRANGE(""https://docs.google.com/spreadsheets/d/1O9lkzOfjouq90ealAFxER2xIm8Q_eQTrmwFboJXdgew/edit?gid=0#gid=0"",""Project details!B12"")"),1150004.0)</f>
        <v>1150004</v>
      </c>
      <c r="F102" s="86">
        <f>IFERROR(__xludf.DUMMYFUNCTION("IMPORTRANGE(""https://docs.google.com/spreadsheets/d/1O9lkzOfjouq90ealAFxER2xIm8Q_eQTrmwFboJXdgew/edit?gid=0#gid=0"",""Project details!B13"")"),1073924.1)</f>
        <v>1073924.1</v>
      </c>
      <c r="G102" s="87">
        <f>IFERROR(__xludf.DUMMYFUNCTION("IMPORTRANGE(""https://docs.google.com/spreadsheets/d/1O9lkzOfjouq90ealAFxER2xIm8Q_eQTrmwFboJXdgew/edit?gid=0#gid=0"",""Project details!D12"")"),0.1)</f>
        <v>0.1</v>
      </c>
      <c r="H102" s="87">
        <f>IFERROR(__xludf.DUMMYFUNCTION("IMPORTRANGE(""https://docs.google.com/spreadsheets/d/1O9lkzOfjouq90ealAFxER2xIm8Q_eQTrmwFboJXdgew/edit?gid=0#gid=0"",""Project details!D13"")"),0.06615620467407062)</f>
        <v>0.06615620467</v>
      </c>
      <c r="I102" s="85">
        <v>2024.0</v>
      </c>
      <c r="J102" s="86">
        <f>(E102-F102)</f>
        <v>76079.9</v>
      </c>
    </row>
    <row r="103">
      <c r="A103" s="88">
        <f>IFERROR(__xludf.DUMMYFUNCTION("""COMPUTED_VALUE"""),102.0)</f>
        <v>102</v>
      </c>
      <c r="B103" s="80" t="str">
        <f>IFERROR(__xludf.DUMMYFUNCTION("""COMPUTED_VALUE"""),"VP Jewellery")</f>
        <v>VP Jewellery</v>
      </c>
      <c r="C103" s="89">
        <f>IFERROR(__xludf.DUMMYFUNCTION("""COMPUTED_VALUE"""),5.0)</f>
        <v>5</v>
      </c>
      <c r="D103" s="82" t="str">
        <f>IFERROR(__xludf.DUMMYFUNCTION("""COMPUTED_VALUE"""),"Completed")</f>
        <v>Completed</v>
      </c>
      <c r="E103" s="86"/>
      <c r="F103" s="86"/>
      <c r="G103" s="87"/>
      <c r="H103" s="87"/>
      <c r="I103" s="85">
        <v>2024.0</v>
      </c>
      <c r="J103" s="86"/>
    </row>
    <row r="104">
      <c r="A104" s="88">
        <f>IFERROR(__xludf.DUMMYFUNCTION("""COMPUTED_VALUE"""),103.0)</f>
        <v>103</v>
      </c>
      <c r="B104" s="80" t="str">
        <f>IFERROR(__xludf.DUMMYFUNCTION("""COMPUTED_VALUE"""),"Mr Chandrasekar")</f>
        <v>Mr Chandrasekar</v>
      </c>
      <c r="C104" s="89">
        <f>IFERROR(__xludf.DUMMYFUNCTION("""COMPUTED_VALUE"""),3.0)</f>
        <v>3</v>
      </c>
      <c r="D104" s="82" t="str">
        <f>IFERROR(__xludf.DUMMYFUNCTION("""COMPUTED_VALUE"""),"Completed")</f>
        <v>Completed</v>
      </c>
      <c r="E104" s="86"/>
      <c r="F104" s="86"/>
      <c r="G104" s="87"/>
      <c r="H104" s="87"/>
      <c r="I104" s="85">
        <v>2024.0</v>
      </c>
      <c r="J104" s="86"/>
    </row>
    <row r="105">
      <c r="A105" s="100">
        <f>IFERROR(__xludf.DUMMYFUNCTION("""COMPUTED_VALUE"""),104.0)</f>
        <v>104</v>
      </c>
      <c r="B105" s="101" t="str">
        <f>IFERROR(__xludf.DUMMYFUNCTION("""COMPUTED_VALUE"""),"SSBPL NBR 2")</f>
        <v>SSBPL NBR 2</v>
      </c>
      <c r="C105" s="108">
        <f>IFERROR(__xludf.DUMMYFUNCTION("""COMPUTED_VALUE"""),4.4)</f>
        <v>4.4</v>
      </c>
      <c r="D105" s="103" t="str">
        <f>IFERROR(__xludf.DUMMYFUNCTION("""COMPUTED_VALUE"""),"Completed")</f>
        <v>Completed</v>
      </c>
      <c r="E105" s="104">
        <f>IFERROR(__xludf.DUMMYFUNCTION("IMPORTRANGE(""https://docs.google.com/spreadsheets/d/1712N38NEAQ6FoYVPOmANqczChslL1NAh2NhL0MMRA80/edit?gid=0#gid=0"",""Project details!B12"")"),287233.0)</f>
        <v>287233</v>
      </c>
      <c r="F105" s="104">
        <f>IFERROR(__xludf.DUMMYFUNCTION("IMPORTRANGE(""https://docs.google.com/spreadsheets/d/1712N38NEAQ6FoYVPOmANqczChslL1NAh2NhL0MMRA80/edit?gid=0#gid=0"",""Project details!B13"")"),169775.476)</f>
        <v>169775.476</v>
      </c>
      <c r="G105" s="105">
        <f>IFERROR(__xludf.DUMMYFUNCTION("IMPORTRANGE(""https://docs.google.com/spreadsheets/d/1712N38NEAQ6FoYVPOmANqczChslL1NAh2NhL0MMRA80/edit?gid=0#gid=0"",""Project details!D12"")"),0.1)</f>
        <v>0.1</v>
      </c>
      <c r="H105" s="105">
        <f>IFERROR(__xludf.DUMMYFUNCTION("IMPORTRANGE(""https://docs.google.com/spreadsheets/d/1712N38NEAQ6FoYVPOmANqczChslL1NAh2NhL0MMRA80/edit?gid=0#gid=0"",""Project details!D13"")"),0.4089276789226865)</f>
        <v>0.4089276789</v>
      </c>
      <c r="I105" s="106">
        <v>2024.0</v>
      </c>
      <c r="J105" s="104">
        <f t="shared" ref="J105:J106" si="5">(E105-F105)</f>
        <v>117457.524</v>
      </c>
    </row>
    <row r="106">
      <c r="A106" s="88">
        <f>IFERROR(__xludf.DUMMYFUNCTION("""COMPUTED_VALUE"""),105.0)</f>
        <v>105</v>
      </c>
      <c r="B106" s="109" t="str">
        <f>IFERROR(__xludf.DUMMYFUNCTION("""COMPUTED_VALUE"""),"Lancor Hiranmayi")</f>
        <v>Lancor Hiranmayi</v>
      </c>
      <c r="C106" s="89">
        <f>IFERROR(__xludf.DUMMYFUNCTION("""COMPUTED_VALUE"""),5.0)</f>
        <v>5</v>
      </c>
      <c r="D106" s="82" t="str">
        <f>IFERROR(__xludf.DUMMYFUNCTION("""COMPUTED_VALUE"""),"Completed")</f>
        <v>Completed</v>
      </c>
      <c r="E106" s="86">
        <f>IFERROR(__xludf.DUMMYFUNCTION("IMPORTRANGE(""https://docs.google.com/spreadsheets/d/1m2XVCK3gEG15IQWhLc7Ek7zJGFZtXeVUkupl2wEbogU/edit?gid=0#gid=0"",""Project details!B12"")"),260000.0)</f>
        <v>260000</v>
      </c>
      <c r="F106" s="86">
        <f>IFERROR(__xludf.DUMMYFUNCTION("IMPORTRANGE(""https://docs.google.com/spreadsheets/d/1m2XVCK3gEG15IQWhLc7Ek7zJGFZtXeVUkupl2wEbogU/edit?gid=0#gid=0"",""Project details!B13"")"),188121.86)</f>
        <v>188121.86</v>
      </c>
      <c r="G106" s="87">
        <f>IFERROR(__xludf.DUMMYFUNCTION("IMPORTRANGE(""https://docs.google.com/spreadsheets/d/1m2XVCK3gEG15IQWhLc7Ek7zJGFZtXeVUkupl2wEbogU/edit?gid=0#gid=0"",""Project details!D12"")"),0.1)</f>
        <v>0.1</v>
      </c>
      <c r="H106" s="87">
        <f>IFERROR(__xludf.DUMMYFUNCTION("IMPORTRANGE(""https://docs.google.com/spreadsheets/d/1m2XVCK3gEG15IQWhLc7Ek7zJGFZtXeVUkupl2wEbogU/edit?gid=0#gid=0"",""Project details!D13"")"),0.2764543846153847)</f>
        <v>0.2764543846</v>
      </c>
      <c r="I106" s="85">
        <v>2024.0</v>
      </c>
      <c r="J106" s="86">
        <f t="shared" si="5"/>
        <v>71878.14</v>
      </c>
    </row>
    <row r="107">
      <c r="A107" s="88">
        <f>IFERROR(__xludf.DUMMYFUNCTION("""COMPUTED_VALUE"""),106.0)</f>
        <v>106</v>
      </c>
      <c r="B107" s="109" t="str">
        <f>IFERROR(__xludf.DUMMYFUNCTION("""COMPUTED_VALUE"""),"Lancor Sahana")</f>
        <v>Lancor Sahana</v>
      </c>
      <c r="C107" s="89">
        <f>IFERROR(__xludf.DUMMYFUNCTION("""COMPUTED_VALUE"""),5.0)</f>
        <v>5</v>
      </c>
      <c r="D107" s="82" t="str">
        <f>IFERROR(__xludf.DUMMYFUNCTION("""COMPUTED_VALUE"""),"Completed")</f>
        <v>Completed</v>
      </c>
      <c r="E107" s="86">
        <f>IFERROR(__xludf.DUMMYFUNCTION("IMPORTRANGE(""https://docs.google.com/spreadsheets/d/1GIirQ4CBaFLf58zQss0NQjJT9tqvZqcve-TRBPNEw_4/edit?gid=0#gid=0"",""Project details!B12"")"),260000.0)</f>
        <v>260000</v>
      </c>
      <c r="F107" s="86">
        <f>IFERROR(__xludf.DUMMYFUNCTION("IMPORTRANGE(""https://docs.google.com/spreadsheets/d/1GIirQ4CBaFLf58zQss0NQjJT9tqvZqcve-TRBPNEw_4/edit?gid=0#gid=0"",""Project details!B13"")"),180425.26000000004)</f>
        <v>180425.26</v>
      </c>
      <c r="G107" s="87">
        <f>IFERROR(__xludf.DUMMYFUNCTION("IMPORTRANGE(""https://docs.google.com/spreadsheets/d/1GIirQ4CBaFLf58zQss0NQjJT9tqvZqcve-TRBPNEw_4/edit?gid=0#gid=0"",""Project details!D12"")"),0.1)</f>
        <v>0.1</v>
      </c>
      <c r="H107" s="87">
        <f>IFERROR(__xludf.DUMMYFUNCTION("IMPORTRANGE(""https://docs.google.com/spreadsheets/d/1GIirQ4CBaFLf58zQss0NQjJT9tqvZqcve-TRBPNEw_4/edit?gid=0#gid=0"",""Project details!D13"")"),0.30605669230769217)</f>
        <v>0.3060566923</v>
      </c>
      <c r="I107" s="85">
        <v>2024.0</v>
      </c>
      <c r="J107" s="86">
        <f>E107-F107</f>
        <v>79574.74</v>
      </c>
    </row>
    <row r="108">
      <c r="A108" s="80">
        <f>IFERROR(__xludf.DUMMYFUNCTION("""COMPUTED_VALUE"""),107.0)</f>
        <v>107</v>
      </c>
      <c r="B108" s="109" t="str">
        <f>IFERROR(__xludf.DUMMYFUNCTION("""COMPUTED_VALUE"""),"Lancor Ratirupa")</f>
        <v>Lancor Ratirupa</v>
      </c>
      <c r="C108" s="89">
        <f>IFERROR(__xludf.DUMMYFUNCTION("""COMPUTED_VALUE"""),5.0)</f>
        <v>5</v>
      </c>
      <c r="D108" s="82" t="str">
        <f>IFERROR(__xludf.DUMMYFUNCTION("""COMPUTED_VALUE"""),"Meter Client Scope")</f>
        <v>Meter Client Scope</v>
      </c>
      <c r="E108" s="86">
        <f>IFERROR(__xludf.DUMMYFUNCTION("IMPORTRANGE(""https://docs.google.com/spreadsheets/d/147YGI0Yu8sh4equ1ihTf68fO-n7bKOjfk0-XYMiwHcc/edit?gid=0#gid=0"",""Project details!B12"")"),260000.0)</f>
        <v>260000</v>
      </c>
      <c r="F108" s="86">
        <f>IFERROR(__xludf.DUMMYFUNCTION("IMPORTRANGE(""https://docs.google.com/spreadsheets/d/147YGI0Yu8sh4equ1ihTf68fO-n7bKOjfk0-XYMiwHcc/edit?gid=0#gid=0"",""Project details!B13"")"),184514.16000000006)</f>
        <v>184514.16</v>
      </c>
      <c r="G108" s="87">
        <f>IFERROR(__xludf.DUMMYFUNCTION("IMPORTRANGE(""https://docs.google.com/spreadsheets/d/147YGI0Yu8sh4equ1ihTf68fO-n7bKOjfk0-XYMiwHcc/edit?gid=0#gid=0"",""Project details!D12"")"),0.1)</f>
        <v>0.1</v>
      </c>
      <c r="H108" s="87">
        <f>IFERROR(__xludf.DUMMYFUNCTION("IMPORTRANGE(""https://docs.google.com/spreadsheets/d/147YGI0Yu8sh4equ1ihTf68fO-n7bKOjfk0-XYMiwHcc/edit?gid=0#gid=0"",""Project details!D13"")"),0.2903301538461536)</f>
        <v>0.2903301538</v>
      </c>
      <c r="I108" s="85">
        <v>2024.0</v>
      </c>
      <c r="J108" s="86">
        <f t="shared" ref="J108:J109" si="6">(E108-F108)</f>
        <v>75485.84</v>
      </c>
    </row>
    <row r="109">
      <c r="A109" s="80">
        <f>IFERROR(__xludf.DUMMYFUNCTION("""COMPUTED_VALUE"""),108.0)</f>
        <v>108</v>
      </c>
      <c r="B109" s="109" t="str">
        <f>IFERROR(__xludf.DUMMYFUNCTION("""COMPUTED_VALUE"""),"Lancor Homeleigh")</f>
        <v>Lancor Homeleigh</v>
      </c>
      <c r="C109" s="89">
        <f>IFERROR(__xludf.DUMMYFUNCTION("""COMPUTED_VALUE"""),5.0)</f>
        <v>5</v>
      </c>
      <c r="D109" s="82" t="str">
        <f>IFERROR(__xludf.DUMMYFUNCTION("""COMPUTED_VALUE"""),"Completed")</f>
        <v>Completed</v>
      </c>
      <c r="E109" s="86">
        <f>IFERROR(__xludf.DUMMYFUNCTION("IMPORTRANGE(""https://docs.google.com/spreadsheets/d/1gR8U4bFSDQZ8yr90L-Wz3UiXPEBG5CC0PjTlv0rh_VY/edit?gid=0#gid=0"",""Project details!B12"")"),260000.0)</f>
        <v>260000</v>
      </c>
      <c r="F109" s="86">
        <f>IFERROR(__xludf.DUMMYFUNCTION("IMPORTRANGE(""https://docs.google.com/spreadsheets/d/1gR8U4bFSDQZ8yr90L-Wz3UiXPEBG5CC0PjTlv0rh_VY/edit?gid=0#gid=0"",""Project details!B13"")"),186711.56000000006)</f>
        <v>186711.56</v>
      </c>
      <c r="G109" s="87">
        <f>IFERROR(__xludf.DUMMYFUNCTION("IMPORTRANGE(""https://docs.google.com/spreadsheets/d/1gR8U4bFSDQZ8yr90L-Wz3UiXPEBG5CC0PjTlv0rh_VY/edit?gid=0#gid=0"",""Project details!D12"")"),0.1)</f>
        <v>0.1</v>
      </c>
      <c r="H109" s="87">
        <f>IFERROR(__xludf.DUMMYFUNCTION("IMPORTRANGE(""https://docs.google.com/spreadsheets/d/1gR8U4bFSDQZ8yr90L-Wz3UiXPEBG5CC0PjTlv0rh_VY/edit?gid=0#gid=0"",""Project details!D13"")"),0.28187861538461517)</f>
        <v>0.2818786154</v>
      </c>
      <c r="I109" s="85">
        <v>2024.0</v>
      </c>
      <c r="J109" s="86">
        <f t="shared" si="6"/>
        <v>73288.44</v>
      </c>
    </row>
    <row r="110">
      <c r="A110" s="88">
        <f>IFERROR(__xludf.DUMMYFUNCTION("""COMPUTED_VALUE"""),109.0)</f>
        <v>109</v>
      </c>
      <c r="B110" s="109" t="str">
        <f>IFERROR(__xludf.DUMMYFUNCTION("""COMPUTED_VALUE"""),"Arihanth Nahar")</f>
        <v>Arihanth Nahar</v>
      </c>
      <c r="C110" s="89">
        <f>IFERROR(__xludf.DUMMYFUNCTION("""COMPUTED_VALUE"""),10.0)</f>
        <v>10</v>
      </c>
      <c r="D110" s="82" t="str">
        <f>IFERROR(__xludf.DUMMYFUNCTION("""COMPUTED_VALUE"""),"Completed")</f>
        <v>Completed</v>
      </c>
      <c r="E110" s="86">
        <f>IFERROR(__xludf.DUMMYFUNCTION("IMPORTRANGE(""https://docs.google.com/spreadsheets/d/1dHzjmKl_vCKh-2thJ3fzhjeQdviSDWT2TBdfGSAj6is/edit?gid=0#gid=0"",""Project details!B12"")"),533628.0)</f>
        <v>533628</v>
      </c>
      <c r="F110" s="86">
        <f>IFERROR(__xludf.DUMMYFUNCTION("IMPORTRANGE(""https://docs.google.com/spreadsheets/d/1dHzjmKl_vCKh-2thJ3fzhjeQdviSDWT2TBdfGSAj6is/edit?gid=0#gid=0"",""Project details!B13"")"),374043.82)</f>
        <v>374043.82</v>
      </c>
      <c r="G110" s="87">
        <f>IFERROR(__xludf.DUMMYFUNCTION("IMPORTRANGE(""https://docs.google.com/spreadsheets/d/1dHzjmKl_vCKh-2thJ3fzhjeQdviSDWT2TBdfGSAj6is/edit?gid=0#gid=0"",""Project details!D12"")"),0.1)</f>
        <v>0.1</v>
      </c>
      <c r="H110" s="87">
        <f>IFERROR(__xludf.DUMMYFUNCTION("IMPORTRANGE(""https://docs.google.com/spreadsheets/d/1dHzjmKl_vCKh-2thJ3fzhjeQdviSDWT2TBdfGSAj6is/edit?gid=0#gid=0"",""Project details!D13"")"),0.2990551095519725)</f>
        <v>0.2990551096</v>
      </c>
      <c r="I110" s="85">
        <v>2024.0</v>
      </c>
      <c r="J110" s="86">
        <f t="shared" ref="J110:J112" si="7">E110-F110</f>
        <v>159584.18</v>
      </c>
    </row>
    <row r="111">
      <c r="A111" s="100">
        <f>IFERROR(__xludf.DUMMYFUNCTION("""COMPUTED_VALUE"""),110.0)</f>
        <v>110</v>
      </c>
      <c r="B111" s="110" t="str">
        <f>IFERROR(__xludf.DUMMYFUNCTION("""COMPUTED_VALUE"""),"Mr Ramaswamy")</f>
        <v>Mr Ramaswamy</v>
      </c>
      <c r="C111" s="108">
        <f>IFERROR(__xludf.DUMMYFUNCTION("""COMPUTED_VALUE"""),3.3)</f>
        <v>3.3</v>
      </c>
      <c r="D111" s="103" t="str">
        <f>IFERROR(__xludf.DUMMYFUNCTION("""COMPUTED_VALUE"""),"Completed")</f>
        <v>Completed</v>
      </c>
      <c r="E111" s="104">
        <f>IFERROR(__xludf.DUMMYFUNCTION("IMPORTRANGE(""https://docs.google.com/spreadsheets/d/15y9aOckzeWYvlTDSjI_bVVRrTUwoW_KUNXJDGKnP6ws/edit?gid=947125482#gid=947125482"",""Project details!B12"")"),204000.0)</f>
        <v>204000</v>
      </c>
      <c r="F111" s="104">
        <f>IFERROR(__xludf.DUMMYFUNCTION("IMPORTRANGE(""https://docs.google.com/spreadsheets/d/15y9aOckzeWYvlTDSjI_bVVRrTUwoW_KUNXJDGKnP6ws/edit?gid=947125482#gid=947125482"",""Project details!B13"")"),133153.51200000005)</f>
        <v>133153.512</v>
      </c>
      <c r="G111" s="105">
        <f>IFERROR(__xludf.DUMMYFUNCTION("IMPORTRANGE(""https://docs.google.com/spreadsheets/d/15y9aOckzeWYvlTDSjI_bVVRrTUwoW_KUNXJDGKnP6ws/edit?gid=947125482#gid=947125482"",""Project details!D12"")"),0.1)</f>
        <v>0.1</v>
      </c>
      <c r="H111" s="105">
        <f>IFERROR(__xludf.DUMMYFUNCTION("IMPORTRANGE(""https://docs.google.com/spreadsheets/d/15y9aOckzeWYvlTDSjI_bVVRrTUwoW_KUNXJDGKnP6ws/edit?gid=947125482#gid=947125482"",""Project details!D13"")"),0.3472867058823527)</f>
        <v>0.3472867059</v>
      </c>
      <c r="I111" s="106">
        <v>2024.0</v>
      </c>
      <c r="J111" s="104">
        <f t="shared" si="7"/>
        <v>70846.488</v>
      </c>
    </row>
    <row r="112">
      <c r="A112" s="80">
        <f>IFERROR(__xludf.DUMMYFUNCTION("""COMPUTED_VALUE"""),111.0)</f>
        <v>111</v>
      </c>
      <c r="B112" s="88" t="str">
        <f>IFERROR(__xludf.DUMMYFUNCTION("""COMPUTED_VALUE"""),"Mr Venkateswaran RTO")</f>
        <v>Mr Venkateswaran RTO</v>
      </c>
      <c r="C112" s="89">
        <f>IFERROR(__xludf.DUMMYFUNCTION("""COMPUTED_VALUE"""),7.0)</f>
        <v>7</v>
      </c>
      <c r="D112" s="82" t="str">
        <f>IFERROR(__xludf.DUMMYFUNCTION("""COMPUTED_VALUE"""),"Completed")</f>
        <v>Completed</v>
      </c>
      <c r="E112" s="86">
        <f>IFERROR(__xludf.DUMMYFUNCTION("IMPORTRANGE(""https://docs.google.com/spreadsheets/d/1FU4f_HlLGnIO_wBv0WxsXWwKWkVW92Vr9dS8Sz7axug/edit?gid=0#gid=0"",""Project details!B12"")"),330000.0)</f>
        <v>330000</v>
      </c>
      <c r="F112" s="86">
        <f>IFERROR(__xludf.DUMMYFUNCTION("IMPORTRANGE(""https://docs.google.com/spreadsheets/d/1FU4f_HlLGnIO_wBv0WxsXWwKWkVW92Vr9dS8Sz7axug/edit?gid=0#gid=0"",""Project details!B13"")"),246070.72)</f>
        <v>246070.72</v>
      </c>
      <c r="G112" s="87">
        <f>IFERROR(__xludf.DUMMYFUNCTION("IMPORTRANGE(""https://docs.google.com/spreadsheets/d/1FU4f_HlLGnIO_wBv0WxsXWwKWkVW92Vr9dS8Sz7axug/edit?gid=0#gid=0"",""Project details!D12"")"),0.15)</f>
        <v>0.15</v>
      </c>
      <c r="H112" s="87">
        <f>IFERROR(__xludf.DUMMYFUNCTION("IMPORTRANGE(""https://docs.google.com/spreadsheets/d/1FU4f_HlLGnIO_wBv0WxsXWwKWkVW92Vr9dS8Sz7axug/edit?gid=0#gid=0"",""Project details!D13"")"),0.2543311515151515)</f>
        <v>0.2543311515</v>
      </c>
      <c r="I112" s="85">
        <v>2024.0</v>
      </c>
      <c r="J112" s="86">
        <f t="shared" si="7"/>
        <v>83929.28</v>
      </c>
    </row>
    <row r="113">
      <c r="A113" s="111">
        <f>IFERROR(__xludf.DUMMYFUNCTION("""COMPUTED_VALUE"""),112.0)</f>
        <v>112</v>
      </c>
      <c r="B113" s="110" t="str">
        <f>IFERROR(__xludf.DUMMYFUNCTION("""COMPUTED_VALUE"""),"SSBPL West Mambalam")</f>
        <v>SSBPL West Mambalam</v>
      </c>
      <c r="C113" s="108">
        <f>IFERROR(__xludf.DUMMYFUNCTION("""COMPUTED_VALUE"""),3.3)</f>
        <v>3.3</v>
      </c>
      <c r="D113" s="103" t="str">
        <f>IFERROR(__xludf.DUMMYFUNCTION("""COMPUTED_VALUE"""),"Completed")</f>
        <v>Completed</v>
      </c>
      <c r="E113" s="104">
        <f>IFERROR(__xludf.DUMMYFUNCTION("IMPORTRANGE(""https://docs.google.com/spreadsheets/d/1nlxpwE7s7i2kULrpsIqW32QOniSgElNpUK9jK7BgP94/edit?gid=1405343218#gid=1405343218"",""Project details!B12"")"),146131.0)</f>
        <v>146131</v>
      </c>
      <c r="F113" s="104">
        <f>IFERROR(__xludf.DUMMYFUNCTION("IMPORTRANGE(""https://docs.google.com/spreadsheets/d/1nlxpwE7s7i2kULrpsIqW32QOniSgElNpUK9jK7BgP94/edit?gid=1405343218#gid=1405343218"",""Project details!B13"")"),87434.29599999999)</f>
        <v>87434.296</v>
      </c>
      <c r="G113" s="105">
        <f>IFERROR(__xludf.DUMMYFUNCTION("IMPORTRANGE(""https://docs.google.com/spreadsheets/d/1nlxpwE7s7i2kULrpsIqW32QOniSgElNpUK9jK7BgP94/edit?gid=1405343218#gid=1405343218"",""Project details!D12"")"),0.1)</f>
        <v>0.1</v>
      </c>
      <c r="H113" s="105">
        <f>IFERROR(__xludf.DUMMYFUNCTION("IMPORTRANGE(""https://docs.google.com/spreadsheets/d/1nlxpwE7s7i2kULrpsIqW32QOniSgElNpUK9jK7BgP94/edit?gid=1405343218#gid=1405343218"",""Project details!D13"")"),0.4016718150152946)</f>
        <v>0.401671815</v>
      </c>
      <c r="I113" s="106">
        <v>2024.0</v>
      </c>
      <c r="J113" s="104">
        <f t="shared" ref="J113:J115" si="8">(E113-F113)</f>
        <v>58696.704</v>
      </c>
    </row>
    <row r="114">
      <c r="A114" s="100">
        <f>IFERROR(__xludf.DUMMYFUNCTION("""COMPUTED_VALUE"""),113.0)</f>
        <v>113</v>
      </c>
      <c r="B114" s="110" t="str">
        <f>IFERROR(__xludf.DUMMYFUNCTION("""COMPUTED_VALUE"""),"Kalakchetra")</f>
        <v>Kalakchetra</v>
      </c>
      <c r="C114" s="108">
        <f>IFERROR(__xludf.DUMMYFUNCTION("""COMPUTED_VALUE"""),10.0)</f>
        <v>10</v>
      </c>
      <c r="D114" s="103" t="str">
        <f>IFERROR(__xludf.DUMMYFUNCTION("""COMPUTED_VALUE"""),"Waiting for Net Meter")</f>
        <v>Waiting for Net Meter</v>
      </c>
      <c r="E114" s="104">
        <f>IFERROR(__xludf.DUMMYFUNCTION("IMPORTRANGE(""https://docs.google.com/spreadsheets/d/1A89ULxAt3f4jamnl8mes9LHQJ25Y1FquD1DDEyMvC64/edit?gid=0#gid=0"",""Project details!B12"")"),633504.0)</f>
        <v>633504</v>
      </c>
      <c r="F114" s="104">
        <f>IFERROR(__xludf.DUMMYFUNCTION("IMPORTRANGE(""https://docs.google.com/spreadsheets/d/1A89ULxAt3f4jamnl8mes9LHQJ25Y1FquD1DDEyMvC64/edit?gid=0#gid=0"",""Project details!B13"")"),526763.156)</f>
        <v>526763.156</v>
      </c>
      <c r="G114" s="105">
        <f>IFERROR(__xludf.DUMMYFUNCTION("IMPORTRANGE(""https://docs.google.com/spreadsheets/d/1A89ULxAt3f4jamnl8mes9LHQJ25Y1FquD1DDEyMvC64/edit?gid=0#gid=0"",""Project details!D12"")"),0.18)</f>
        <v>0.18</v>
      </c>
      <c r="H114" s="105">
        <f>IFERROR(__xludf.DUMMYFUNCTION("IMPORTRANGE(""https://docs.google.com/spreadsheets/d/1A89ULxAt3f4jamnl8mes9LHQJ25Y1FquD1DDEyMvC64/edit?gid=0#gid=0"",""Project details!D13"")"),0.16849277036924792)</f>
        <v>0.1684927704</v>
      </c>
      <c r="I114" s="106">
        <v>2024.0</v>
      </c>
      <c r="J114" s="104">
        <f t="shared" si="8"/>
        <v>106740.844</v>
      </c>
    </row>
    <row r="115">
      <c r="A115" s="88">
        <f>IFERROR(__xludf.DUMMYFUNCTION("""COMPUTED_VALUE"""),114.0)</f>
        <v>114</v>
      </c>
      <c r="B115" s="109" t="str">
        <f>IFERROR(__xludf.DUMMYFUNCTION("""COMPUTED_VALUE"""),"Mr Venkatraman")</f>
        <v>Mr Venkatraman</v>
      </c>
      <c r="C115" s="89">
        <f>IFERROR(__xludf.DUMMYFUNCTION("""COMPUTED_VALUE"""),9.0)</f>
        <v>9</v>
      </c>
      <c r="D115" s="82" t="str">
        <f>IFERROR(__xludf.DUMMYFUNCTION("""COMPUTED_VALUE"""),"Completed")</f>
        <v>Completed</v>
      </c>
      <c r="E115" s="86">
        <f>IFERROR(__xludf.DUMMYFUNCTION("IMPORTRANGE(""https://docs.google.com/spreadsheets/d/1vTkQK_Aw2Jf48wWYNVVi4qukMJBFMBjl11rzo_Nssjo/edit?gid=0#gid=0"",""Project details!B12"")"),465000.0)</f>
        <v>465000</v>
      </c>
      <c r="F115" s="86">
        <f>IFERROR(__xludf.DUMMYFUNCTION("IMPORTRANGE(""https://docs.google.com/spreadsheets/d/1vTkQK_Aw2Jf48wWYNVVi4qukMJBFMBjl11rzo_Nssjo/edit?gid=0#gid=0"",""Project details!B13"")"),348765.33999999997)</f>
        <v>348765.34</v>
      </c>
      <c r="G115" s="87">
        <f>IFERROR(__xludf.DUMMYFUNCTION("IMPORTRANGE(""https://docs.google.com/spreadsheets/d/1vTkQK_Aw2Jf48wWYNVVi4qukMJBFMBjl11rzo_Nssjo/edit?gid=0#gid=0"",""Project details!D12"")"),0.1)</f>
        <v>0.1</v>
      </c>
      <c r="H115" s="87">
        <f>IFERROR(__xludf.DUMMYFUNCTION("IMPORTRANGE(""https://docs.google.com/spreadsheets/d/1vTkQK_Aw2Jf48wWYNVVi4qukMJBFMBjl11rzo_Nssjo/edit?gid=0#gid=0"",""Project details!D13"")"),0.24996701075268823)</f>
        <v>0.2499670108</v>
      </c>
      <c r="I115" s="85">
        <v>2024.0</v>
      </c>
      <c r="J115" s="86">
        <f t="shared" si="8"/>
        <v>116234.66</v>
      </c>
    </row>
    <row r="116">
      <c r="A116" s="88">
        <f>IFERROR(__xludf.DUMMYFUNCTION("""COMPUTED_VALUE"""),115.0)</f>
        <v>115</v>
      </c>
      <c r="B116" s="109" t="str">
        <f>IFERROR(__xludf.DUMMYFUNCTION("""COMPUTED_VALUE"""),"Ramaniyam Shyamala")</f>
        <v>Ramaniyam Shyamala</v>
      </c>
      <c r="C116" s="89">
        <f>IFERROR(__xludf.DUMMYFUNCTION("""COMPUTED_VALUE"""),3.3)</f>
        <v>3.3</v>
      </c>
      <c r="D116" s="82" t="str">
        <f>IFERROR(__xludf.DUMMYFUNCTION("""COMPUTED_VALUE"""),"Completed")</f>
        <v>Completed</v>
      </c>
      <c r="E116" s="86">
        <f>IFERROR(__xludf.DUMMYFUNCTION("IMPORTRANGE(""https://docs.google.com/spreadsheets/d/1_8oWKOYmdUMhTzzZBivdIHM7MvZ4C4q7oHKZrlWGPSo/edit?gid=947125482#gid=947125482"",""Project details!B12"")"),192340.0)</f>
        <v>192340</v>
      </c>
      <c r="F116" s="86">
        <f>IFERROR(__xludf.DUMMYFUNCTION("IMPORTRANGE(""https://docs.google.com/spreadsheets/d/1_8oWKOYmdUMhTzzZBivdIHM7MvZ4C4q7oHKZrlWGPSo/edit?gid=947125482#gid=947125482"",""Project details!B13"")"),108374.23999999998)</f>
        <v>108374.24</v>
      </c>
      <c r="G116" s="87">
        <f>IFERROR(__xludf.DUMMYFUNCTION("IMPORTRANGE(""https://docs.google.com/spreadsheets/d/1_8oWKOYmdUMhTzzZBivdIHM7MvZ4C4q7oHKZrlWGPSo/edit?gid=947125482#gid=947125482"",""Project details!D12"")"),0.1)</f>
        <v>0.1</v>
      </c>
      <c r="H116" s="87">
        <f>IFERROR(__xludf.DUMMYFUNCTION("IMPORTRANGE(""https://docs.google.com/spreadsheets/d/1_8oWKOYmdUMhTzzZBivdIHM7MvZ4C4q7oHKZrlWGPSo/edit?gid=947125482#gid=947125482"",""Project details!D13"")"),0.43654861183321214)</f>
        <v>0.4365486118</v>
      </c>
      <c r="I116" s="85">
        <v>2024.0</v>
      </c>
      <c r="J116" s="86">
        <f>E116-F116</f>
        <v>83965.76</v>
      </c>
    </row>
    <row r="117">
      <c r="A117" s="88">
        <f>IFERROR(__xludf.DUMMYFUNCTION("""COMPUTED_VALUE"""),116.0)</f>
        <v>116</v>
      </c>
      <c r="B117" s="109" t="str">
        <f>IFERROR(__xludf.DUMMYFUNCTION("""COMPUTED_VALUE"""),"DRA Urbania")</f>
        <v>DRA Urbania</v>
      </c>
      <c r="C117" s="89">
        <f>IFERROR(__xludf.DUMMYFUNCTION("""COMPUTED_VALUE"""),67.0)</f>
        <v>67</v>
      </c>
      <c r="D117" s="82" t="str">
        <f>IFERROR(__xludf.DUMMYFUNCTION("""COMPUTED_VALUE"""),"Completed")</f>
        <v>Completed</v>
      </c>
      <c r="E117" s="86">
        <f>IFERROR(__xludf.DUMMYFUNCTION("IMPORTRANGE(""https://docs.google.com/spreadsheets/d/1OrpAUUq0PakXmLDuszNXw6F6gFb104mV-f923z5P-AQ/edit?gid=0#gid=0"",""Project details!B12"")"),2699936.0)</f>
        <v>2699936</v>
      </c>
      <c r="F117" s="86">
        <f>IFERROR(__xludf.DUMMYFUNCTION("IMPORTRANGE(""https://docs.google.com/spreadsheets/d/1OrpAUUq0PakXmLDuszNXw6F6gFb104mV-f923z5P-AQ/edit?gid=0#gid=0"",""Project details!B13"")"),2134946.716)</f>
        <v>2134946.716</v>
      </c>
      <c r="G117" s="87">
        <f>IFERROR(__xludf.DUMMYFUNCTION("IMPORTRANGE(""https://docs.google.com/spreadsheets/d/1OrpAUUq0PakXmLDuszNXw6F6gFb104mV-f923z5P-AQ/edit?gid=0#gid=0"",""Project details!D12"")"),0.2)</f>
        <v>0.2</v>
      </c>
      <c r="H117" s="87">
        <f>IFERROR(__xludf.DUMMYFUNCTION("IMPORTRANGE(""https://docs.google.com/spreadsheets/d/1OrpAUUq0PakXmLDuszNXw6F6gFb104mV-f923z5P-AQ/edit?gid=0#gid=0"",""Project details!D13"")"),0.20926025061334785)</f>
        <v>0.2092602506</v>
      </c>
      <c r="I117" s="85">
        <v>2024.0</v>
      </c>
      <c r="J117" s="83">
        <f t="shared" ref="J117:J122" si="9">(E117-F117)</f>
        <v>564989.284</v>
      </c>
    </row>
    <row r="118">
      <c r="A118" s="88">
        <f>IFERROR(__xludf.DUMMYFUNCTION("""COMPUTED_VALUE"""),117.0)</f>
        <v>117</v>
      </c>
      <c r="B118" s="109" t="str">
        <f>IFERROR(__xludf.DUMMYFUNCTION("""COMPUTED_VALUE"""),"Mr.Sriram Pallikaranai")</f>
        <v>Mr.Sriram Pallikaranai</v>
      </c>
      <c r="C118" s="89">
        <f>IFERROR(__xludf.DUMMYFUNCTION("""COMPUTED_VALUE"""),4.0)</f>
        <v>4</v>
      </c>
      <c r="D118" s="82" t="str">
        <f>IFERROR(__xludf.DUMMYFUNCTION("""COMPUTED_VALUE"""),"Completed")</f>
        <v>Completed</v>
      </c>
      <c r="E118" s="86">
        <f>IFERROR(__xludf.DUMMYFUNCTION("IMPORTRANGE(""https://docs.google.com/spreadsheets/d/1Xl5Ym7Eai-4UrywQNeYnCnzef-dnxwxJTsT4KcQAgbg/edit?gid=0#gid=0"",""Project details!B12"")"),276615.0)</f>
        <v>276615</v>
      </c>
      <c r="F118" s="86">
        <f>IFERROR(__xludf.DUMMYFUNCTION("IMPORTRANGE(""https://docs.google.com/spreadsheets/d/1Xl5Ym7Eai-4UrywQNeYnCnzef-dnxwxJTsT4KcQAgbg/edit?gid=0#gid=0"",""Project details!B13"")"),249005.1906)</f>
        <v>249005.1906</v>
      </c>
      <c r="G118" s="87">
        <f>IFERROR(__xludf.DUMMYFUNCTION("IMPORTRANGE(""https://docs.google.com/spreadsheets/d/1Xl5Ym7Eai-4UrywQNeYnCnzef-dnxwxJTsT4KcQAgbg/edit?gid=0#gid=0"",""Project details!D12"")"),0.1)</f>
        <v>0.1</v>
      </c>
      <c r="H118" s="87">
        <f>IFERROR(__xludf.DUMMYFUNCTION("IMPORTRANGE(""https://docs.google.com/spreadsheets/d/1Xl5Ym7Eai-4UrywQNeYnCnzef-dnxwxJTsT4KcQAgbg/edit?gid=0#gid=0"",""Project details!D13"")"),0.09981313160891492)</f>
        <v>0.09981313161</v>
      </c>
      <c r="I118" s="85">
        <v>2024.0</v>
      </c>
      <c r="J118" s="83">
        <f t="shared" si="9"/>
        <v>27609.8094</v>
      </c>
    </row>
    <row r="119">
      <c r="A119" s="80">
        <f>IFERROR(__xludf.DUMMYFUNCTION("""COMPUTED_VALUE"""),118.0)</f>
        <v>118</v>
      </c>
      <c r="B119" s="109" t="str">
        <f>IFERROR(__xludf.DUMMYFUNCTION("""COMPUTED_VALUE"""),"Ramaniyam Sri Vaikuntam")</f>
        <v>Ramaniyam Sri Vaikuntam</v>
      </c>
      <c r="C119" s="89">
        <f>IFERROR(__xludf.DUMMYFUNCTION("""COMPUTED_VALUE"""),3.3)</f>
        <v>3.3</v>
      </c>
      <c r="D119" s="82" t="str">
        <f>IFERROR(__xludf.DUMMYFUNCTION("""COMPUTED_VALUE"""),"Completed")</f>
        <v>Completed</v>
      </c>
      <c r="E119" s="86">
        <f>IFERROR(__xludf.DUMMYFUNCTION("IMPORTRANGE(""https://docs.google.com/spreadsheets/d/10Q8rwDG3FO-cD2s6Lwu2RLHdgvIvXZOnPpQ4K6LHM6k/edit?gid=0#gid=0"",""Project details!B12"")"),192338.0)</f>
        <v>192338</v>
      </c>
      <c r="F119" s="86">
        <f>IFERROR(__xludf.DUMMYFUNCTION("IMPORTRANGE(""https://docs.google.com/spreadsheets/d/10Q8rwDG3FO-cD2s6Lwu2RLHdgvIvXZOnPpQ4K6LHM6k/edit?gid=0#gid=0"",""Project details!B13"")"),126561.39600000001)</f>
        <v>126561.396</v>
      </c>
      <c r="G119" s="87">
        <f>IFERROR(__xludf.DUMMYFUNCTION("IMPORTRANGE(""https://docs.google.com/spreadsheets/d/10Q8rwDG3FO-cD2s6Lwu2RLHdgvIvXZOnPpQ4K6LHM6k/edit?gid=0#gid=0"",""Project details!D12"")"),0.1)</f>
        <v>0.1</v>
      </c>
      <c r="H119" s="87">
        <f>IFERROR(__xludf.DUMMYFUNCTION("IMPORTRANGE(""https://docs.google.com/spreadsheets/d/10Q8rwDG3FO-cD2s6Lwu2RLHdgvIvXZOnPpQ4K6LHM6k/edit?gid=0#gid=0"",""Project details!D13"")"),0.34198444405161743)</f>
        <v>0.3419844441</v>
      </c>
      <c r="I119" s="85">
        <v>2024.0</v>
      </c>
      <c r="J119" s="83">
        <f t="shared" si="9"/>
        <v>65776.604</v>
      </c>
    </row>
    <row r="120">
      <c r="A120" s="80">
        <f>IFERROR(__xludf.DUMMYFUNCTION("""COMPUTED_VALUE"""),119.0)</f>
        <v>119</v>
      </c>
      <c r="B120" s="109" t="str">
        <f>IFERROR(__xludf.DUMMYFUNCTION("""COMPUTED_VALUE"""),"Newry Astor")</f>
        <v>Newry Astor</v>
      </c>
      <c r="C120" s="89">
        <f>IFERROR(__xludf.DUMMYFUNCTION("""COMPUTED_VALUE"""),10.0)</f>
        <v>10</v>
      </c>
      <c r="D120" s="82" t="str">
        <f>IFERROR(__xludf.DUMMYFUNCTION("""COMPUTED_VALUE"""),"Completed")</f>
        <v>Completed</v>
      </c>
      <c r="E120" s="86">
        <f>IFERROR(__xludf.DUMMYFUNCTION("IMPORTRANGE(""https://docs.google.com/spreadsheets/d/1qOO7phYwNdpYg4v2MNbNr953pVfY9wZ-_T3SrI6eFqk/edit?gid=0#gid=0"",""project details!B12"")"),523876.0)</f>
        <v>523876</v>
      </c>
      <c r="F120" s="86">
        <f>IFERROR(__xludf.DUMMYFUNCTION("IMPORTRANGE(""https://docs.google.com/spreadsheets/d/1qOO7phYwNdpYg4v2MNbNr953pVfY9wZ-_T3SrI6eFqk/edit?gid=0#gid=0"",""project details!B13"")"),400800.442)</f>
        <v>400800.442</v>
      </c>
      <c r="G120" s="87">
        <f>IFERROR(__xludf.DUMMYFUNCTION("IMPORTRANGE(""https://docs.google.com/spreadsheets/d/1qOO7phYwNdpYg4v2MNbNr953pVfY9wZ-_T3SrI6eFqk/edit?gid=0#gid=0"",""project details!D12"")"),0.1)</f>
        <v>0.1</v>
      </c>
      <c r="H120" s="87">
        <f>IFERROR(__xludf.DUMMYFUNCTION("IMPORTRANGE(""https://docs.google.com/spreadsheets/d/1qOO7phYwNdpYg4v2MNbNr953pVfY9wZ-_T3SrI6eFqk/edit?gid=0#gid=0"",""project details!D13"")"),0.23493261382464556)</f>
        <v>0.2349326138</v>
      </c>
      <c r="I120" s="85">
        <v>2024.0</v>
      </c>
      <c r="J120" s="83">
        <f t="shared" si="9"/>
        <v>123075.558</v>
      </c>
    </row>
    <row r="121">
      <c r="A121" s="88">
        <f>IFERROR(__xludf.DUMMYFUNCTION("""COMPUTED_VALUE"""),120.0)</f>
        <v>120</v>
      </c>
      <c r="B121" s="109" t="str">
        <f>IFERROR(__xludf.DUMMYFUNCTION("""COMPUTED_VALUE"""),"Vaf def Aero Systems")</f>
        <v>Vaf def Aero Systems</v>
      </c>
      <c r="C121" s="89">
        <f>IFERROR(__xludf.DUMMYFUNCTION("""COMPUTED_VALUE"""),528.0)</f>
        <v>528</v>
      </c>
      <c r="D121" s="82" t="str">
        <f>IFERROR(__xludf.DUMMYFUNCTION("""COMPUTED_VALUE"""),"Completed")</f>
        <v>Completed</v>
      </c>
      <c r="E121" s="86">
        <f>IFERROR(__xludf.DUMMYFUNCTION("IMPORTRANGE(""https://docs.google.com/spreadsheets/d/1iZ4hiNOnr42FGIz8TdBVi6P_iT0nXzsxcTnpDgDwdl4/edit?gid=0#gid=0"",""project details!b12"")"),2.02564E7)</f>
        <v>20256400</v>
      </c>
      <c r="F121" s="86">
        <f>IFERROR(__xludf.DUMMYFUNCTION("IMPORTRANGE(""https://docs.google.com/spreadsheets/d/1iZ4hiNOnr42FGIz8TdBVi6P_iT0nXzsxcTnpDgDwdl4/edit?gid=0#gid=0"",""project details!b13"")"),1.5566528410999998E7)</f>
        <v>15566528.41</v>
      </c>
      <c r="G121" s="87">
        <f>IFERROR(__xludf.DUMMYFUNCTION("IMPORTRANGE(""https://docs.google.com/spreadsheets/d/1iZ4hiNOnr42FGIz8TdBVi6P_iT0nXzsxcTnpDgDwdl4/edit?gid=0#gid=0"",""project details!D12"")"),0.2)</f>
        <v>0.2</v>
      </c>
      <c r="H121" s="87">
        <f>IFERROR(__xludf.DUMMYFUNCTION("IMPORTRANGE(""https://docs.google.com/spreadsheets/d/1iZ4hiNOnr42FGIz8TdBVi6P_iT0nXzsxcTnpDgDwdl4/edit?gid=0#gid=0"",""project details!D13"")"),0.23152542352046768)</f>
        <v>0.2315254235</v>
      </c>
      <c r="I121" s="85">
        <v>2024.0</v>
      </c>
      <c r="J121" s="83">
        <f t="shared" si="9"/>
        <v>4689871.589</v>
      </c>
    </row>
    <row r="122">
      <c r="A122" s="88">
        <f>IFERROR(__xludf.DUMMYFUNCTION("""COMPUTED_VALUE"""),121.0)</f>
        <v>121</v>
      </c>
      <c r="B122" s="109" t="str">
        <f>IFERROR(__xludf.DUMMYFUNCTION("""COMPUTED_VALUE"""),"Mr Parasuraman")</f>
        <v>Mr Parasuraman</v>
      </c>
      <c r="C122" s="89">
        <f>IFERROR(__xludf.DUMMYFUNCTION("""COMPUTED_VALUE"""),5.0)</f>
        <v>5</v>
      </c>
      <c r="D122" s="82" t="str">
        <f>IFERROR(__xludf.DUMMYFUNCTION("""COMPUTED_VALUE"""),"Completed")</f>
        <v>Completed</v>
      </c>
      <c r="E122" s="86">
        <f>IFERROR(__xludf.DUMMYFUNCTION("IMPORTRANGE(""https://docs.google.com/spreadsheets/d/1aycV3OgbAoXpiChzWLHS2FA084ixDQPjxw8p_SYmyik/edit?gid=0#gid=0"",""project details!B12"")"),280000.0)</f>
        <v>280000</v>
      </c>
      <c r="F122" s="86">
        <f>IFERROR(__xludf.DUMMYFUNCTION("IMPORTRANGE(""https://docs.google.com/spreadsheets/d/1aycV3OgbAoXpiChzWLHS2FA084ixDQPjxw8p_SYmyik/edit?gid=0#gid=0"",""project details!B13"")"),277485.9119999999)</f>
        <v>277485.912</v>
      </c>
      <c r="G122" s="87">
        <f>IFERROR(__xludf.DUMMYFUNCTION("IMPORTRANGE(""https://docs.google.com/spreadsheets/d/1aycV3OgbAoXpiChzWLHS2FA084ixDQPjxw8p_SYmyik/edit?gid=0#gid=0"",""project details!D12"")"),0.1)</f>
        <v>0.1</v>
      </c>
      <c r="H122" s="87">
        <f>IFERROR(__xludf.DUMMYFUNCTION("IMPORTRANGE(""https://docs.google.com/spreadsheets/d/1aycV3OgbAoXpiChzWLHS2FA084ixDQPjxw8p_SYmyik/edit?gid=0#gid=0"",""project details!D13"")"),0.00897888571428609)</f>
        <v>0.008978885714</v>
      </c>
      <c r="I122" s="85">
        <v>2024.0</v>
      </c>
      <c r="J122" s="83">
        <f t="shared" si="9"/>
        <v>2514.088</v>
      </c>
    </row>
    <row r="123">
      <c r="A123" s="111">
        <f>IFERROR(__xludf.DUMMYFUNCTION("""COMPUTED_VALUE"""),122.0)</f>
        <v>122</v>
      </c>
      <c r="B123" s="110" t="str">
        <f>IFERROR(__xludf.DUMMYFUNCTION("""COMPUTED_VALUE"""),"Mr Palanivelan")</f>
        <v>Mr Palanivelan</v>
      </c>
      <c r="C123" s="108">
        <f>IFERROR(__xludf.DUMMYFUNCTION("""COMPUTED_VALUE"""),3.3)</f>
        <v>3.3</v>
      </c>
      <c r="D123" s="103" t="str">
        <f>IFERROR(__xludf.DUMMYFUNCTION("""COMPUTED_VALUE"""),"Completed")</f>
        <v>Completed</v>
      </c>
      <c r="E123" s="104">
        <f>IFERROR(__xludf.DUMMYFUNCTION("IMPORTRANGE(""https://docs.google.com/spreadsheets/d/1kA-JmXwj86CLI5_g9sxYwErDVM9LmWxUeaTbY_HS750/edit?gid=947125482#gid=947125482"",""Project details!B12"")"),220000.0)</f>
        <v>220000</v>
      </c>
      <c r="F123" s="104">
        <f>IFERROR(__xludf.DUMMYFUNCTION("IMPORTRANGE(""https://docs.google.com/spreadsheets/d/1kA-JmXwj86CLI5_g9sxYwErDVM9LmWxUeaTbY_HS750/edit?gid=947125482#gid=947125482"",""Project details!B13"")"),192299.80800000002)</f>
        <v>192299.808</v>
      </c>
      <c r="G123" s="105">
        <f>IFERROR(__xludf.DUMMYFUNCTION("IMPORTRANGE(""https://docs.google.com/spreadsheets/d/1kA-JmXwj86CLI5_g9sxYwErDVM9LmWxUeaTbY_HS750/edit?gid=947125482#gid=947125482"",""Project details!D12"")"),0.1)</f>
        <v>0.1</v>
      </c>
      <c r="H123" s="105">
        <f>IFERROR(__xludf.DUMMYFUNCTION("IMPORTRANGE(""https://docs.google.com/spreadsheets/d/1kA-JmXwj86CLI5_g9sxYwErDVM9LmWxUeaTbY_HS750/edit?gid=947125482#gid=947125482"",""Project details!D13"")"),0.12590996363636356)</f>
        <v>0.1259099636</v>
      </c>
      <c r="I123" s="106">
        <v>2024.0</v>
      </c>
      <c r="J123" s="104">
        <f t="shared" ref="J123:J124" si="10">E123-F123</f>
        <v>27700.192</v>
      </c>
    </row>
    <row r="124">
      <c r="A124" s="111">
        <f>IFERROR(__xludf.DUMMYFUNCTION("""COMPUTED_VALUE"""),123.0)</f>
        <v>123</v>
      </c>
      <c r="B124" s="110" t="str">
        <f>IFERROR(__xludf.DUMMYFUNCTION("""COMPUTED_VALUE"""),"SSBPL SPRING SEASON")</f>
        <v>SSBPL SPRING SEASON</v>
      </c>
      <c r="C124" s="108">
        <f>IFERROR(__xludf.DUMMYFUNCTION("""COMPUTED_VALUE"""),3.3)</f>
        <v>3.3</v>
      </c>
      <c r="D124" s="103" t="str">
        <f>IFERROR(__xludf.DUMMYFUNCTION("""COMPUTED_VALUE"""),"Completed")</f>
        <v>Completed</v>
      </c>
      <c r="E124" s="104">
        <f>IFERROR(__xludf.DUMMYFUNCTION("IMPORTRANGE(""https://docs.google.com/spreadsheets/d/1xo3bJuhzK18_kDEe34DG4UUB7huNhknO9g3yUkOZsdM/edit?gid=0#gid=0"",""Project details!B12"")"),146131.0)</f>
        <v>146131</v>
      </c>
      <c r="F124" s="104">
        <f>IFERROR(__xludf.DUMMYFUNCTION("IMPORTRANGE(""https://docs.google.com/spreadsheets/d/1xo3bJuhzK18_kDEe34DG4UUB7huNhknO9g3yUkOZsdM/edit?gid=0#gid=0"",""Project details!B13"")"),85334.56000000001)</f>
        <v>85334.56</v>
      </c>
      <c r="G124" s="105">
        <f>IFERROR(__xludf.DUMMYFUNCTION("IMPORTRANGE(""https://docs.google.com/spreadsheets/d/1xo3bJuhzK18_kDEe34DG4UUB7huNhknO9g3yUkOZsdM/edit?gid=0#gid=0"",""Project details!D12"")"),0.1)</f>
        <v>0.1</v>
      </c>
      <c r="H124" s="105">
        <f>IFERROR(__xludf.DUMMYFUNCTION("IMPORTRANGE(""https://docs.google.com/spreadsheets/d/1xo3bJuhzK18_kDEe34DG4UUB7huNhknO9g3yUkOZsdM/edit?gid=0#gid=0"",""Project details!D13"")"),0.4160406758319589)</f>
        <v>0.4160406758</v>
      </c>
      <c r="I124" s="106">
        <v>2024.0</v>
      </c>
      <c r="J124" s="104">
        <f t="shared" si="10"/>
        <v>60796.44</v>
      </c>
    </row>
    <row r="125">
      <c r="A125" s="100">
        <f>IFERROR(__xludf.DUMMYFUNCTION("""COMPUTED_VALUE"""),124.0)</f>
        <v>124</v>
      </c>
      <c r="B125" s="110" t="str">
        <f>IFERROR(__xludf.DUMMYFUNCTION("""COMPUTED_VALUE"""),"Luxebuilt Homes Pvt ltd")</f>
        <v>Luxebuilt Homes Pvt ltd</v>
      </c>
      <c r="C125" s="108">
        <f>IFERROR(__xludf.DUMMYFUNCTION("""COMPUTED_VALUE"""),3.3)</f>
        <v>3.3</v>
      </c>
      <c r="D125" s="103" t="str">
        <f>IFERROR(__xludf.DUMMYFUNCTION("""COMPUTED_VALUE"""),"Completed")</f>
        <v>Completed</v>
      </c>
      <c r="E125" s="104">
        <f>IFERROR(__xludf.DUMMYFUNCTION("IMPORTRANGE(""https://docs.google.com/spreadsheets/d/1PkwgZ1AZCk9Vj8zlWYGPo1u_j4cdgaKuoPXG_CgDk8I/edit?gid=0#gid=0"",""Project details!B12"")"),98931.0)</f>
        <v>98931</v>
      </c>
      <c r="F125" s="104">
        <f>IFERROR(__xludf.DUMMYFUNCTION("IMPORTRANGE(""https://docs.google.com/spreadsheets/d/1PkwgZ1AZCk9Vj8zlWYGPo1u_j4cdgaKuoPXG_CgDk8I/edit?gid=0#gid=0"",""Project details!B13"")"),43395.69999999999)</f>
        <v>43395.7</v>
      </c>
      <c r="G125" s="105">
        <f>IFERROR(__xludf.DUMMYFUNCTION("IMPORTRANGE(""https://docs.google.com/spreadsheets/d/1PkwgZ1AZCk9Vj8zlWYGPo1u_j4cdgaKuoPXG_CgDk8I/edit?gid=0#gid=0"",""Project details!D12"")"),0.15)</f>
        <v>0.15</v>
      </c>
      <c r="H125" s="105">
        <f>IFERROR(__xludf.DUMMYFUNCTION("IMPORTRANGE(""https://docs.google.com/spreadsheets/d/1PkwgZ1AZCk9Vj8zlWYGPo1u_j4cdgaKuoPXG_CgDk8I/edit?gid=0#gid=0"",""Project details!D13"")"),0.5613538729013151)</f>
        <v>0.5613538729</v>
      </c>
      <c r="I125" s="106">
        <v>2024.0</v>
      </c>
      <c r="J125" s="104">
        <f t="shared" ref="J125:J126" si="11">(E125-F125)</f>
        <v>55535.3</v>
      </c>
    </row>
    <row r="126">
      <c r="A126" s="88">
        <f>IFERROR(__xludf.DUMMYFUNCTION("""COMPUTED_VALUE"""),125.0)</f>
        <v>125</v>
      </c>
      <c r="B126" s="109" t="str">
        <f>IFERROR(__xludf.DUMMYFUNCTION("""COMPUTED_VALUE"""),"Lancor Lumina H2")</f>
        <v>Lancor Lumina H2</v>
      </c>
      <c r="C126" s="89">
        <f>IFERROR(__xludf.DUMMYFUNCTION("""COMPUTED_VALUE"""),20.0)</f>
        <v>20</v>
      </c>
      <c r="D126" s="82" t="str">
        <f>IFERROR(__xludf.DUMMYFUNCTION("""COMPUTED_VALUE"""),"Meter Client Scope")</f>
        <v>Meter Client Scope</v>
      </c>
      <c r="E126" s="86">
        <f>IFERROR(__xludf.DUMMYFUNCTION("IMPORTRANGE(""https://docs.google.com/spreadsheets/d/1Im66eqfW2-GYniVB4bXN3wbUoiYrY1ZKwz9OUfVEt2w/edit?gid=0#gid=0"",""Project details!B12"")"),799199.0)</f>
        <v>799199</v>
      </c>
      <c r="F126" s="86">
        <f>IFERROR(__xludf.DUMMYFUNCTION("IMPORTRANGE(""https://docs.google.com/spreadsheets/d/1Im66eqfW2-GYniVB4bXN3wbUoiYrY1ZKwz9OUfVEt2w/edit?gid=0#gid=0"",""Project details!B13"")"),675807.7000000002)</f>
        <v>675807.7</v>
      </c>
      <c r="G126" s="87">
        <f>IFERROR(__xludf.DUMMYFUNCTION("IMPORTRANGE(""https://docs.google.com/spreadsheets/d/1Im66eqfW2-GYniVB4bXN3wbUoiYrY1ZKwz9OUfVEt2w/edit?gid=0#gid=0"",""Project details!D12"")"),0.15)</f>
        <v>0.15</v>
      </c>
      <c r="H126" s="87">
        <f>IFERROR(__xludf.DUMMYFUNCTION("IMPORTRANGE(""https://docs.google.com/spreadsheets/d/1Im66eqfW2-GYniVB4bXN3wbUoiYrY1ZKwz9OUfVEt2w/edit?gid=0#gid=0"",""Project details!D13"")"),0.15439371170384325)</f>
        <v>0.1543937117</v>
      </c>
      <c r="I126" s="85">
        <v>2024.0</v>
      </c>
      <c r="J126" s="83">
        <f t="shared" si="11"/>
        <v>123391.3</v>
      </c>
    </row>
    <row r="127">
      <c r="A127" s="100">
        <f>IFERROR(__xludf.DUMMYFUNCTION("""COMPUTED_VALUE"""),126.0)</f>
        <v>126</v>
      </c>
      <c r="B127" s="110" t="str">
        <f>IFERROR(__xludf.DUMMYFUNCTION("""COMPUTED_VALUE"""),"Felix Johnson")</f>
        <v>Felix Johnson</v>
      </c>
      <c r="C127" s="108">
        <f>IFERROR(__xludf.DUMMYFUNCTION("""COMPUTED_VALUE"""),7.5)</f>
        <v>7.5</v>
      </c>
      <c r="D127" s="103" t="str">
        <f>IFERROR(__xludf.DUMMYFUNCTION("""COMPUTED_VALUE"""),"Completed")</f>
        <v>Completed</v>
      </c>
      <c r="E127" s="104">
        <f>IFERROR(__xludf.DUMMYFUNCTION("IMPORTRANGE(""https://docs.google.com/spreadsheets/d/11FhykfFoYXXKlxZh356KqE2crQypaLQrjMKfi8-j4R8/edit?gid=0#gid=0"",""Project details!B12"")"),376726.0)</f>
        <v>376726</v>
      </c>
      <c r="F127" s="104">
        <f>IFERROR(__xludf.DUMMYFUNCTION("IMPORTRANGE(""https://docs.google.com/spreadsheets/d/11FhykfFoYXXKlxZh356KqE2crQypaLQrjMKfi8-j4R8/edit?gid=0#gid=0"",""Project details!B13"")"),250895.24000000005)</f>
        <v>250895.24</v>
      </c>
      <c r="G127" s="105">
        <f>IFERROR(__xludf.DUMMYFUNCTION("IMPORTRANGE(""https://docs.google.com/spreadsheets/d/11FhykfFoYXXKlxZh356KqE2crQypaLQrjMKfi8-j4R8/edit?gid=0#gid=0"",""Project details!D12"")"),0.1)</f>
        <v>0.1</v>
      </c>
      <c r="H127" s="105">
        <f>IFERROR(__xludf.DUMMYFUNCTION("IMPORTRANGE(""https://docs.google.com/spreadsheets/d/11FhykfFoYXXKlxZh356KqE2crQypaLQrjMKfi8-j4R8/edit?gid=0#gid=0"",""Project details!D13"")"),0.3340113504244463)</f>
        <v>0.3340113504</v>
      </c>
      <c r="I127" s="106">
        <v>2024.0</v>
      </c>
      <c r="J127" s="104">
        <f>E127-F127</f>
        <v>125830.76</v>
      </c>
    </row>
    <row r="128">
      <c r="A128" s="100">
        <f>IFERROR(__xludf.DUMMYFUNCTION("""COMPUTED_VALUE"""),127.0)</f>
        <v>127</v>
      </c>
      <c r="B128" s="110" t="str">
        <f>IFERROR(__xludf.DUMMYFUNCTION("""COMPUTED_VALUE"""),"Mr Elumalai")</f>
        <v>Mr Elumalai</v>
      </c>
      <c r="C128" s="108">
        <f>IFERROR(__xludf.DUMMYFUNCTION("""COMPUTED_VALUE"""),3.3)</f>
        <v>3.3</v>
      </c>
      <c r="D128" s="103" t="str">
        <f>IFERROR(__xludf.DUMMYFUNCTION("""COMPUTED_VALUE"""),"Completed")</f>
        <v>Completed</v>
      </c>
      <c r="E128" s="104">
        <f>IFERROR(__xludf.DUMMYFUNCTION("IMPORTRANGE(""https://docs.google.com/spreadsheets/d/1YDxxedGF3gr9-qknv5UObA_c1YCxq4BMJbUcUItGp5s/edit?gid=0#gid=0"",""Project details!B12"")"),210000.0)</f>
        <v>210000</v>
      </c>
      <c r="F128" s="104">
        <f>IFERROR(__xludf.DUMMYFUNCTION("IMPORTRANGE(""https://docs.google.com/spreadsheets/d/1YDxxedGF3gr9-qknv5UObA_c1YCxq4BMJbUcUItGp5s/edit?gid=0#gid=0"",""Project details!B13"")"),163096.8)</f>
        <v>163096.8</v>
      </c>
      <c r="G128" s="105">
        <f>IFERROR(__xludf.DUMMYFUNCTION("IMPORTRANGE(""https://docs.google.com/spreadsheets/d/1YDxxedGF3gr9-qknv5UObA_c1YCxq4BMJbUcUItGp5s/edit?gid=0#gid=0"",""Project details!D12"")"),0.1)</f>
        <v>0.1</v>
      </c>
      <c r="H128" s="105">
        <f>IFERROR(__xludf.DUMMYFUNCTION("IMPORTRANGE(""https://docs.google.com/spreadsheets/d/1YDxxedGF3gr9-qknv5UObA_c1YCxq4BMJbUcUItGp5s/edit?gid=0#gid=0"",""Project details!D13"")"),0.22334857142857148)</f>
        <v>0.2233485714</v>
      </c>
      <c r="I128" s="106">
        <v>2024.0</v>
      </c>
      <c r="J128" s="104">
        <f>(E128-F128)</f>
        <v>46903.2</v>
      </c>
    </row>
    <row r="129">
      <c r="A129" s="88">
        <f>IFERROR(__xludf.DUMMYFUNCTION("""COMPUTED_VALUE"""),128.0)</f>
        <v>128</v>
      </c>
      <c r="B129" s="109" t="str">
        <f>IFERROR(__xludf.DUMMYFUNCTION("""COMPUTED_VALUE"""),"Log on infra pvt ltd (NDR)")</f>
        <v>Log on infra pvt ltd (NDR)</v>
      </c>
      <c r="C129" s="89">
        <f>IFERROR(__xludf.DUMMYFUNCTION("""COMPUTED_VALUE"""),22.5)</f>
        <v>22.5</v>
      </c>
      <c r="D129" s="82" t="str">
        <f>IFERROR(__xludf.DUMMYFUNCTION("""COMPUTED_VALUE"""),"Completed")</f>
        <v>Completed</v>
      </c>
      <c r="E129" s="86">
        <f>IFERROR(__xludf.DUMMYFUNCTION("IMPORTRANGE(""https://docs.google.com/spreadsheets/d/1iae2gQVsydkMZ3GJGbg0y5RlbChGCt5kjxI5WudwJto/edit?gid=0#gid=0"",""Project details!B12"")"),916693.0)</f>
        <v>916693</v>
      </c>
      <c r="F129" s="86">
        <f>IFERROR(__xludf.DUMMYFUNCTION("IMPORTRANGE(""https://docs.google.com/spreadsheets/d/1iae2gQVsydkMZ3GJGbg0y5RlbChGCt5kjxI5WudwJto/edit?gid=0#gid=0"",""Project details!B13"")"),597921.3640000003)</f>
        <v>597921.364</v>
      </c>
      <c r="G129" s="87">
        <f>IFERROR(__xludf.DUMMYFUNCTION("IMPORTRANGE(""https://docs.google.com/spreadsheets/d/1iae2gQVsydkMZ3GJGbg0y5RlbChGCt5kjxI5WudwJto/edit?gid=0#gid=0"",""Project details!D12"")"),0.2)</f>
        <v>0.2</v>
      </c>
      <c r="H129" s="87">
        <f>IFERROR(__xludf.DUMMYFUNCTION("IMPORTRANGE(""https://docs.google.com/spreadsheets/d/1iae2gQVsydkMZ3GJGbg0y5RlbChGCt5kjxI5WudwJto/edit?gid=0#gid=0"",""Project details!D13"")"),0.3477408859890931)</f>
        <v>0.347740886</v>
      </c>
      <c r="I129" s="85">
        <v>2024.0</v>
      </c>
      <c r="J129" s="86">
        <f>E129-F129</f>
        <v>318771.636</v>
      </c>
    </row>
    <row r="130">
      <c r="A130" s="80">
        <f>IFERROR(__xludf.DUMMYFUNCTION("""COMPUTED_VALUE"""),129.0)</f>
        <v>129</v>
      </c>
      <c r="B130" s="109" t="str">
        <f>IFERROR(__xludf.DUMMYFUNCTION("""COMPUTED_VALUE"""),"M/S Ramya")</f>
        <v>M/S Ramya</v>
      </c>
      <c r="C130" s="89">
        <f>IFERROR(__xludf.DUMMYFUNCTION("""COMPUTED_VALUE"""),10.0)</f>
        <v>10</v>
      </c>
      <c r="D130" s="82" t="str">
        <f>IFERROR(__xludf.DUMMYFUNCTION("""COMPUTED_VALUE"""),"Completed")</f>
        <v>Completed</v>
      </c>
      <c r="E130" s="86">
        <f>IFERROR(__xludf.DUMMYFUNCTION("IMPORTRANGE(""https://docs.google.com/spreadsheets/d/1kE85Asn7naDdC-bW4KHO8y22pc5P1hcNtpKHzwDtAxE/edit?gid=0#gid=0"",""Project details!B12"")"),572000.0)</f>
        <v>572000</v>
      </c>
      <c r="F130" s="86">
        <f>IFERROR(__xludf.DUMMYFUNCTION("IMPORTRANGE(""https://docs.google.com/spreadsheets/d/1kE85Asn7naDdC-bW4KHO8y22pc5P1hcNtpKHzwDtAxE/edit?gid=0#gid=0"",""Project details!B13"")"),362864.04)</f>
        <v>362864.04</v>
      </c>
      <c r="G130" s="87">
        <f>IFERROR(__xludf.DUMMYFUNCTION("IMPORTRANGE(""https://docs.google.com/spreadsheets/d/1kE85Asn7naDdC-bW4KHO8y22pc5P1hcNtpKHzwDtAxE/edit?gid=0#gid=0"",""Project details!D12"")"),0.1)</f>
        <v>0.1</v>
      </c>
      <c r="H130" s="87">
        <f>IFERROR(__xludf.DUMMYFUNCTION("IMPORTRANGE(""https://docs.google.com/spreadsheets/d/1kE85Asn7naDdC-bW4KHO8y22pc5P1hcNtpKHzwDtAxE/edit?gid=0#gid=0"",""Project details!D13"")"),0.36562230769230775)</f>
        <v>0.3656223077</v>
      </c>
      <c r="I130" s="85">
        <v>2024.0</v>
      </c>
      <c r="J130" s="86">
        <f>(E130-F130)</f>
        <v>209135.96</v>
      </c>
    </row>
    <row r="131">
      <c r="A131" s="111">
        <f>IFERROR(__xludf.DUMMYFUNCTION("""COMPUTED_VALUE"""),130.0)</f>
        <v>130</v>
      </c>
      <c r="B131" s="110" t="str">
        <f>IFERROR(__xludf.DUMMYFUNCTION("""COMPUTED_VALUE"""),"Mr Davidson")</f>
        <v>Mr Davidson</v>
      </c>
      <c r="C131" s="108">
        <f>IFERROR(__xludf.DUMMYFUNCTION("""COMPUTED_VALUE"""),8.7)</f>
        <v>8.7</v>
      </c>
      <c r="D131" s="103" t="str">
        <f>IFERROR(__xludf.DUMMYFUNCTION("""COMPUTED_VALUE"""),"Completed")</f>
        <v>Completed</v>
      </c>
      <c r="E131" s="104">
        <f>IFERROR(__xludf.DUMMYFUNCTION("IMPORTRANGE(""https://docs.google.com/spreadsheets/d/1a9aV7ViNLA11rxxPwllOKFdE9PO8Qy-80EXMOj5Cjwk/edit?gid=0#gid=0"",""Project details!B12"")"),557499.0)</f>
        <v>557499</v>
      </c>
      <c r="F131" s="104">
        <f>IFERROR(__xludf.DUMMYFUNCTION("IMPORTRANGE(""https://docs.google.com/spreadsheets/d/1a9aV7ViNLA11rxxPwllOKFdE9PO8Qy-80EXMOj5Cjwk/edit?gid=0#gid=0"",""Project details!B13"")"),364263.796)</f>
        <v>364263.796</v>
      </c>
      <c r="G131" s="105">
        <f>IFERROR(__xludf.DUMMYFUNCTION("IMPORTRANGE(""https://docs.google.com/spreadsheets/d/1a9aV7ViNLA11rxxPwllOKFdE9PO8Qy-80EXMOj5Cjwk/edit?gid=0#gid=0"",""Project details!D12"")"),0.1)</f>
        <v>0.1</v>
      </c>
      <c r="H131" s="105">
        <f>IFERROR(__xludf.DUMMYFUNCTION("IMPORTRANGE(""https://docs.google.com/spreadsheets/d/1a9aV7ViNLA11rxxPwllOKFdE9PO8Qy-80EXMOj5Cjwk/edit?gid=0#gid=0"",""Project details!D13"")"),0.34661085311363793)</f>
        <v>0.3466108531</v>
      </c>
      <c r="I131" s="106">
        <v>2024.0</v>
      </c>
      <c r="J131" s="104">
        <f>E131-F131</f>
        <v>193235.204</v>
      </c>
    </row>
    <row r="132">
      <c r="A132" s="88">
        <f>IFERROR(__xludf.DUMMYFUNCTION("""COMPUTED_VALUE"""),131.0)</f>
        <v>131</v>
      </c>
      <c r="B132" s="109" t="str">
        <f>IFERROR(__xludf.DUMMYFUNCTION("""COMPUTED_VALUE"""),"Navins Sankalpa")</f>
        <v>Navins Sankalpa</v>
      </c>
      <c r="C132" s="89">
        <f>IFERROR(__xludf.DUMMYFUNCTION("""COMPUTED_VALUE"""),8.0)</f>
        <v>8</v>
      </c>
      <c r="D132" s="82" t="str">
        <f>IFERROR(__xludf.DUMMYFUNCTION("""COMPUTED_VALUE"""),"Completed")</f>
        <v>Completed</v>
      </c>
      <c r="E132" s="86">
        <f>IFERROR(__xludf.DUMMYFUNCTION("IMPORTRANGE(""https://docs.google.com/spreadsheets/d/1mrKY40l57921eTOtAPX3SswA8f8NfHXzm5fhyio-bro/edit?gid=0#gid=0"",""project details!B12"")"),309999.02)</f>
        <v>309999.02</v>
      </c>
      <c r="F132" s="86">
        <f>IFERROR(__xludf.DUMMYFUNCTION("IMPORTRANGE(""https://docs.google.com/spreadsheets/d/1mrKY40l57921eTOtAPX3SswA8f8NfHXzm5fhyio-bro/edit?gid=0#gid=0"",""project details!B13"")"),244586.36000000002)</f>
        <v>244586.36</v>
      </c>
      <c r="G132" s="87">
        <f>IFERROR(__xludf.DUMMYFUNCTION("IMPORTRANGE(""https://docs.google.com/spreadsheets/d/1mrKY40l57921eTOtAPX3SswA8f8NfHXzm5fhyio-bro/edit?gid=0#gid=0"",""project details!D12"")"),0.1)</f>
        <v>0.1</v>
      </c>
      <c r="H132" s="87">
        <f>IFERROR(__xludf.DUMMYFUNCTION("IMPORTRANGE(""https://docs.google.com/spreadsheets/d/1mrKY40l57921eTOtAPX3SswA8f8NfHXzm5fhyio-bro/edit?gid=0#gid=0"",""project details!D13"")"),0.21100924770665405)</f>
        <v>0.2110092477</v>
      </c>
      <c r="I132" s="85">
        <v>2024.0</v>
      </c>
      <c r="J132" s="83">
        <f t="shared" ref="J132:J135" si="12">(E132-F132)</f>
        <v>65412.66</v>
      </c>
    </row>
    <row r="133">
      <c r="A133" s="88">
        <f>IFERROR(__xludf.DUMMYFUNCTION("""COMPUTED_VALUE"""),132.0)</f>
        <v>132</v>
      </c>
      <c r="B133" s="109" t="str">
        <f>IFERROR(__xludf.DUMMYFUNCTION("""COMPUTED_VALUE"""),"Sri Ganapathy Ashram")</f>
        <v>Sri Ganapathy Ashram</v>
      </c>
      <c r="C133" s="89">
        <f>IFERROR(__xludf.DUMMYFUNCTION("""COMPUTED_VALUE"""),14.0)</f>
        <v>14</v>
      </c>
      <c r="D133" s="82" t="str">
        <f>IFERROR(__xludf.DUMMYFUNCTION("""COMPUTED_VALUE"""),"Completed")</f>
        <v>Completed</v>
      </c>
      <c r="E133" s="86">
        <f>IFERROR(__xludf.DUMMYFUNCTION("IMPORTRANGE(""https://docs.google.com/spreadsheets/d/11sc-4E-0KnCEb2vZ45aQ3vb2XCdJPr25wBQFxjdZHD8/edit?gid=0#gid=0"",""Project details!B12"")"),745000.0)</f>
        <v>745000</v>
      </c>
      <c r="F133" s="86">
        <f>IFERROR(__xludf.DUMMYFUNCTION("IMPORTRANGE(""https://docs.google.com/spreadsheets/d/11sc-4E-0KnCEb2vZ45aQ3vb2XCdJPr25wBQFxjdZHD8/edit?gid=0#gid=0"",""Project details!B13"")"),656445.8260000001)</f>
        <v>656445.826</v>
      </c>
      <c r="G133" s="87">
        <f>IFERROR(__xludf.DUMMYFUNCTION("IMPORTRANGE(""https://docs.google.com/spreadsheets/d/11sc-4E-0KnCEb2vZ45aQ3vb2XCdJPr25wBQFxjdZHD8/edit?gid=0#gid=0"",""Project details!D12"")"),0.1)</f>
        <v>0.1</v>
      </c>
      <c r="H133" s="87">
        <f>IFERROR(__xludf.DUMMYFUNCTION("IMPORTRANGE(""https://docs.google.com/spreadsheets/d/11sc-4E-0KnCEb2vZ45aQ3vb2XCdJPr25wBQFxjdZHD8/edit?gid=0#gid=0"",""Project details!D13"")"),0.11886466308724816)</f>
        <v>0.1188646631</v>
      </c>
      <c r="I133" s="85">
        <v>2024.0</v>
      </c>
      <c r="J133" s="83">
        <f t="shared" si="12"/>
        <v>88554.174</v>
      </c>
    </row>
    <row r="134">
      <c r="A134" s="80">
        <f>IFERROR(__xludf.DUMMYFUNCTION("""COMPUTED_VALUE"""),133.0)</f>
        <v>133</v>
      </c>
      <c r="B134" s="109" t="str">
        <f>IFERROR(__xludf.DUMMYFUNCTION("""COMPUTED_VALUE"""),"Jains Aura")</f>
        <v>Jains Aura</v>
      </c>
      <c r="C134" s="89">
        <f>IFERROR(__xludf.DUMMYFUNCTION("""COMPUTED_VALUE"""),3.0)</f>
        <v>3</v>
      </c>
      <c r="D134" s="82" t="str">
        <f>IFERROR(__xludf.DUMMYFUNCTION("""COMPUTED_VALUE"""),"Completed")</f>
        <v>Completed</v>
      </c>
      <c r="E134" s="86">
        <f>IFERROR(__xludf.DUMMYFUNCTION("IMPORTRANGE(""https://docs.google.com/spreadsheets/d/13d_OJsCxyVWjNP0PdtjHQ6uipQLnRDGeDVt4cikK1Xk/edit?gid=0#gid=0"",""Project details!B12"")"),170200.0)</f>
        <v>170200</v>
      </c>
      <c r="F134" s="86">
        <f>IFERROR(__xludf.DUMMYFUNCTION("IMPORTRANGE(""https://docs.google.com/spreadsheets/d/13d_OJsCxyVWjNP0PdtjHQ6uipQLnRDGeDVt4cikK1Xk/edit?gid=0#gid=0"",""Project details!B13"")"),145345.16)</f>
        <v>145345.16</v>
      </c>
      <c r="G134" s="87">
        <f>IFERROR(__xludf.DUMMYFUNCTION("IMPORTRANGE(""https://docs.google.com/spreadsheets/d/13d_OJsCxyVWjNP0PdtjHQ6uipQLnRDGeDVt4cikK1Xk/edit?gid=0#gid=0"",""Project details!D12"")"),0.1)</f>
        <v>0.1</v>
      </c>
      <c r="H134" s="87">
        <f>IFERROR(__xludf.DUMMYFUNCTION("IMPORTRANGE(""https://docs.google.com/spreadsheets/d/13d_OJsCxyVWjNP0PdtjHQ6uipQLnRDGeDVt4cikK1Xk/edit?gid=0#gid=0"",""Project details!D13"")"),0.14603313748531138)</f>
        <v>0.1460331375</v>
      </c>
      <c r="I134" s="85">
        <v>2024.0</v>
      </c>
      <c r="J134" s="83">
        <f t="shared" si="12"/>
        <v>24854.84</v>
      </c>
    </row>
    <row r="135">
      <c r="A135" s="80">
        <f>IFERROR(__xludf.DUMMYFUNCTION("""COMPUTED_VALUE"""),134.0)</f>
        <v>134</v>
      </c>
      <c r="B135" s="109" t="str">
        <f>IFERROR(__xludf.DUMMYFUNCTION("""COMPUTED_VALUE"""),"Mr Manokaran")</f>
        <v>Mr Manokaran</v>
      </c>
      <c r="C135" s="89">
        <f>IFERROR(__xludf.DUMMYFUNCTION("""COMPUTED_VALUE"""),3.0)</f>
        <v>3</v>
      </c>
      <c r="D135" s="82" t="str">
        <f>IFERROR(__xludf.DUMMYFUNCTION("""COMPUTED_VALUE"""),"Completed")</f>
        <v>Completed</v>
      </c>
      <c r="E135" s="86">
        <f>IFERROR(__xludf.DUMMYFUNCTION("IMPORTRANGE(""https://docs.google.com/spreadsheets/d/1TfDQayJ2uTnd3sPYsoPBcRhCx8FMunoBB1BLBkAl2JQ/edit?gid=0#gid=0"",""project details!B12"")"),195000.0)</f>
        <v>195000</v>
      </c>
      <c r="F135" s="86">
        <f>IFERROR(__xludf.DUMMYFUNCTION("IMPORTRANGE(""https://docs.google.com/spreadsheets/d/1TfDQayJ2uTnd3sPYsoPBcRhCx8FMunoBB1BLBkAl2JQ/edit?gid=0#gid=0"",""project details!B13"")"),171172.38000000003)</f>
        <v>171172.38</v>
      </c>
      <c r="G135" s="87">
        <f>IFERROR(__xludf.DUMMYFUNCTION("IMPORTRANGE(""https://docs.google.com/spreadsheets/d/1TfDQayJ2uTnd3sPYsoPBcRhCx8FMunoBB1BLBkAl2JQ/edit?gid=0#gid=0"",""project details!D12"")"),0.1)</f>
        <v>0.1</v>
      </c>
      <c r="H135" s="87">
        <f>IFERROR(__xludf.DUMMYFUNCTION("IMPORTRANGE(""https://docs.google.com/spreadsheets/d/1TfDQayJ2uTnd3sPYsoPBcRhCx8FMunoBB1BLBkAl2JQ/edit?gid=0#gid=0"",""project details!D13"")"),0.12219292307692291)</f>
        <v>0.1221929231</v>
      </c>
      <c r="I135" s="85">
        <v>2025.0</v>
      </c>
      <c r="J135" s="83">
        <f t="shared" si="12"/>
        <v>23827.62</v>
      </c>
    </row>
    <row r="136">
      <c r="A136" s="88">
        <f>IFERROR(__xludf.DUMMYFUNCTION("""COMPUTED_VALUE"""),135.0)</f>
        <v>135</v>
      </c>
      <c r="B136" s="109" t="str">
        <f>IFERROR(__xludf.DUMMYFUNCTION("""COMPUTED_VALUE"""),"Mr Vijay Sabapathy")</f>
        <v>Mr Vijay Sabapathy</v>
      </c>
      <c r="C136" s="89">
        <f>IFERROR(__xludf.DUMMYFUNCTION("""COMPUTED_VALUE"""),10.0)</f>
        <v>10</v>
      </c>
      <c r="D136" s="82" t="str">
        <f>IFERROR(__xludf.DUMMYFUNCTION("""COMPUTED_VALUE"""),"Completed")</f>
        <v>Completed</v>
      </c>
      <c r="E136" s="86">
        <f>IFERROR(__xludf.DUMMYFUNCTION("IMPORTRANGE(""https://docs.google.com/spreadsheets/d/1iDnp51APSFUB7kTKioZHP6WOsxigSZztVNffbFI_n2o/edit?gid=0#gid=0"",""Project details!B12"")"),515435.0)</f>
        <v>515435</v>
      </c>
      <c r="F136" s="86">
        <f>IFERROR(__xludf.DUMMYFUNCTION("IMPORTRANGE(""https://docs.google.com/spreadsheets/d/1iDnp51APSFUB7kTKioZHP6WOsxigSZztVNffbFI_n2o/edit?gid=0#gid=0"",""Project details!B13"")"),370087.02)</f>
        <v>370087.02</v>
      </c>
      <c r="G136" s="87">
        <f>IFERROR(__xludf.DUMMYFUNCTION("IMPORTRANGE(""https://docs.google.com/spreadsheets/d/1iDnp51APSFUB7kTKioZHP6WOsxigSZztVNffbFI_n2o/edit?gid=0#gid=0"",""Project details!D12"")"),0.15)</f>
        <v>0.15</v>
      </c>
      <c r="H136" s="87">
        <f>IFERROR(__xludf.DUMMYFUNCTION("IMPORTRANGE(""https://docs.google.com/spreadsheets/d/1iDnp51APSFUB7kTKioZHP6WOsxigSZztVNffbFI_n2o/edit?gid=0#gid=0"",""Project details!D13"")"),0.2819909008895399)</f>
        <v>0.2819909009</v>
      </c>
      <c r="I136" s="85">
        <v>2024.0</v>
      </c>
      <c r="J136" s="86">
        <f>E136-F136</f>
        <v>145347.98</v>
      </c>
    </row>
    <row r="137">
      <c r="A137" s="88">
        <f>IFERROR(__xludf.DUMMYFUNCTION("""COMPUTED_VALUE"""),136.0)</f>
        <v>136</v>
      </c>
      <c r="B137" s="109" t="str">
        <f>IFERROR(__xludf.DUMMYFUNCTION("""COMPUTED_VALUE"""),"Sri Ganapathy Ashram, Phase II")</f>
        <v>Sri Ganapathy Ashram, Phase II</v>
      </c>
      <c r="C137" s="89">
        <f>IFERROR(__xludf.DUMMYFUNCTION("""COMPUTED_VALUE"""),9.9)</f>
        <v>9.9</v>
      </c>
      <c r="D137" s="82" t="str">
        <f>IFERROR(__xludf.DUMMYFUNCTION("""COMPUTED_VALUE"""),"Completed")</f>
        <v>Completed</v>
      </c>
      <c r="E137" s="86">
        <f>IFERROR(__xludf.DUMMYFUNCTION("IMPORTRANGE(""https://docs.google.com/spreadsheets/d/15UBhawSboweqlHY-H3cxm9aJTqe5M3DmURyRn0Cfjbs/edit?gid=0#gid=0"",""Project details!B12"")"),466951.0)</f>
        <v>466951</v>
      </c>
      <c r="F137" s="86">
        <f>IFERROR(__xludf.DUMMYFUNCTION("IMPORTRANGE(""https://docs.google.com/spreadsheets/d/15UBhawSboweqlHY-H3cxm9aJTqe5M3DmURyRn0Cfjbs/edit?gid=0#gid=0"",""Project details!B13"")"),302342.31999999995)</f>
        <v>302342.32</v>
      </c>
      <c r="G137" s="87">
        <f>IFERROR(__xludf.DUMMYFUNCTION("IMPORTRANGE(""https://docs.google.com/spreadsheets/d/15UBhawSboweqlHY-H3cxm9aJTqe5M3DmURyRn0Cfjbs/edit?gid=0#gid=0"",""Project details!D12"")"),0.1)</f>
        <v>0.1</v>
      </c>
      <c r="H137" s="87">
        <f>IFERROR(__xludf.DUMMYFUNCTION("IMPORTRANGE(""https://docs.google.com/spreadsheets/d/15UBhawSboweqlHY-H3cxm9aJTqe5M3DmURyRn0Cfjbs/edit?gid=0#gid=0"",""Project details!D13"")"),0.3525181014710324)</f>
        <v>0.3525181015</v>
      </c>
      <c r="I137" s="85">
        <v>2024.0</v>
      </c>
      <c r="J137" s="83">
        <f t="shared" ref="J137:J171" si="13">(E137-F137)</f>
        <v>164608.68</v>
      </c>
    </row>
    <row r="138">
      <c r="A138" s="88">
        <f>IFERROR(__xludf.DUMMYFUNCTION("""COMPUTED_VALUE"""),137.0)</f>
        <v>137</v>
      </c>
      <c r="B138" s="109" t="str">
        <f>IFERROR(__xludf.DUMMYFUNCTION("""COMPUTED_VALUE"""),"Mr Venkatesh")</f>
        <v>Mr Venkatesh</v>
      </c>
      <c r="C138" s="89">
        <f>IFERROR(__xludf.DUMMYFUNCTION("""COMPUTED_VALUE"""),3.3)</f>
        <v>3.3</v>
      </c>
      <c r="D138" s="82" t="str">
        <f>IFERROR(__xludf.DUMMYFUNCTION("""COMPUTED_VALUE"""),"Completed")</f>
        <v>Completed</v>
      </c>
      <c r="E138" s="86">
        <f>IFERROR(__xludf.DUMMYFUNCTION("IMPORTRANGE(""https://docs.google.com/spreadsheets/d/1BuZN4z4nIVPDdo-ZLvy6XTS48hlqE20RtdWpecyauYs/edit?gid=0#gid=0"",""project details!B12"")"),185000.0)</f>
        <v>185000</v>
      </c>
      <c r="F138" s="86">
        <f>IFERROR(__xludf.DUMMYFUNCTION("IMPORTRANGE(""https://docs.google.com/spreadsheets/d/1BuZN4z4nIVPDdo-ZLvy6XTS48hlqE20RtdWpecyauYs/edit?gid=0#gid=0"",""project details!B13"")"),169980.99999999997)</f>
        <v>169981</v>
      </c>
      <c r="G138" s="87">
        <f>IFERROR(__xludf.DUMMYFUNCTION("IMPORTRANGE(""https://docs.google.com/spreadsheets/d/1BuZN4z4nIVPDdo-ZLvy6XTS48hlqE20RtdWpecyauYs/edit?gid=0#gid=0"",""project details!D12"")"),0.1)</f>
        <v>0.1</v>
      </c>
      <c r="H138" s="87">
        <f>IFERROR(__xludf.DUMMYFUNCTION("IMPORTRANGE(""https://docs.google.com/spreadsheets/d/1BuZN4z4nIVPDdo-ZLvy6XTS48hlqE20RtdWpecyauYs/edit?gid=0#gid=0"",""project details!D13"")"),0.08118378378378394)</f>
        <v>0.08118378378</v>
      </c>
      <c r="I138" s="85">
        <v>2025.0</v>
      </c>
      <c r="J138" s="83">
        <f t="shared" si="13"/>
        <v>15019</v>
      </c>
    </row>
    <row r="139">
      <c r="A139" s="88">
        <f>IFERROR(__xludf.DUMMYFUNCTION("""COMPUTED_VALUE"""),138.0)</f>
        <v>138</v>
      </c>
      <c r="B139" s="109" t="str">
        <f>IFERROR(__xludf.DUMMYFUNCTION("""COMPUTED_VALUE"""),"Mr Koildhass")</f>
        <v>Mr Koildhass</v>
      </c>
      <c r="C139" s="89">
        <f>IFERROR(__xludf.DUMMYFUNCTION("""COMPUTED_VALUE"""),5.0)</f>
        <v>5</v>
      </c>
      <c r="D139" s="82" t="str">
        <f>IFERROR(__xludf.DUMMYFUNCTION("""COMPUTED_VALUE"""),"Completed")</f>
        <v>Completed</v>
      </c>
      <c r="E139" s="86">
        <f>IFERROR(__xludf.DUMMYFUNCTION("IMPORTRANGE(""https://docs.google.com/spreadsheets/d/1_NCMveUb7YTuQn3IB1tFi3QFQ9AAAm-aU-I31vnJiNM/edit?gid=0#gid=0"",""Project details!B12"")"),254882.0)</f>
        <v>254882</v>
      </c>
      <c r="F139" s="86">
        <f>IFERROR(__xludf.DUMMYFUNCTION("IMPORTRANGE(""https://docs.google.com/spreadsheets/d/1_NCMveUb7YTuQn3IB1tFi3QFQ9AAAm-aU-I31vnJiNM/edit?gid=0#gid=0"",""Project details!B13"")"),183782.96000000002)</f>
        <v>183782.96</v>
      </c>
      <c r="G139" s="87">
        <f>IFERROR(__xludf.DUMMYFUNCTION("IMPORTRANGE(""https://docs.google.com/spreadsheets/d/1_NCMveUb7YTuQn3IB1tFi3QFQ9AAAm-aU-I31vnJiNM/edit?gid=0#gid=0"",""Project details!D12"")"),0.1)</f>
        <v>0.1</v>
      </c>
      <c r="H139" s="87">
        <f>IFERROR(__xludf.DUMMYFUNCTION("IMPORTRANGE(""https://docs.google.com/spreadsheets/d/1_NCMveUb7YTuQn3IB1tFi3QFQ9AAAm-aU-I31vnJiNM/edit?gid=0#gid=0"",""Project details!D13"")"),0.27894884691739696)</f>
        <v>0.2789488469</v>
      </c>
      <c r="I139" s="85">
        <v>2025.0</v>
      </c>
      <c r="J139" s="83">
        <f t="shared" si="13"/>
        <v>71099.04</v>
      </c>
    </row>
    <row r="140">
      <c r="A140" s="88">
        <f>IFERROR(__xludf.DUMMYFUNCTION("""COMPUTED_VALUE"""),139.0)</f>
        <v>139</v>
      </c>
      <c r="B140" s="109" t="str">
        <f>IFERROR(__xludf.DUMMYFUNCTION("""COMPUTED_VALUE"""),"Ramaniyam Bharadwaj")</f>
        <v>Ramaniyam Bharadwaj</v>
      </c>
      <c r="C140" s="89">
        <f>IFERROR(__xludf.DUMMYFUNCTION("""COMPUTED_VALUE"""),4.4)</f>
        <v>4.4</v>
      </c>
      <c r="D140" s="82" t="str">
        <f>IFERROR(__xludf.DUMMYFUNCTION("""COMPUTED_VALUE"""),"Completed")</f>
        <v>Completed</v>
      </c>
      <c r="E140" s="86">
        <f>IFERROR(__xludf.DUMMYFUNCTION("IMPORTRANGE(""https://docs.google.com/spreadsheets/d/1Mjf9nnq9Pm4Evh9tMT8iF-6gQ_M0VfknX8cMyL4R4Lo/edit?gid=0#gid=0"",""Project details!B12"")"),221805.0)</f>
        <v>221805</v>
      </c>
      <c r="F140" s="86">
        <f>IFERROR(__xludf.DUMMYFUNCTION("IMPORTRANGE(""https://docs.google.com/spreadsheets/d/1Mjf9nnq9Pm4Evh9tMT8iF-6gQ_M0VfknX8cMyL4R4Lo/edit?gid=0#gid=0"",""Project details!B13"")"),120080.6)</f>
        <v>120080.6</v>
      </c>
      <c r="G140" s="87">
        <f>IFERROR(__xludf.DUMMYFUNCTION("IMPORTRANGE(""https://docs.google.com/spreadsheets/d/1Mjf9nnq9Pm4Evh9tMT8iF-6gQ_M0VfknX8cMyL4R4Lo/edit?gid=0#gid=0"",""Project details!D12"")"),0.12)</f>
        <v>0.12</v>
      </c>
      <c r="H140" s="87">
        <f>IFERROR(__xludf.DUMMYFUNCTION("IMPORTRANGE(""https://docs.google.com/spreadsheets/d/1Mjf9nnq9Pm4Evh9tMT8iF-6gQ_M0VfknX8cMyL4R4Lo/edit?gid=0#gid=0"",""Project details!D13"")"),0.4586208606659002)</f>
        <v>0.4586208607</v>
      </c>
      <c r="I140" s="85">
        <v>2025.0</v>
      </c>
      <c r="J140" s="83">
        <f t="shared" si="13"/>
        <v>101724.4</v>
      </c>
    </row>
    <row r="141">
      <c r="A141" s="80">
        <f>IFERROR(__xludf.DUMMYFUNCTION("""COMPUTED_VALUE"""),140.0)</f>
        <v>140</v>
      </c>
      <c r="B141" s="109" t="str">
        <f>IFERROR(__xludf.DUMMYFUNCTION("""COMPUTED_VALUE"""),"M/s Latha ganesh")</f>
        <v>M/s Latha ganesh</v>
      </c>
      <c r="C141" s="89">
        <f>IFERROR(__xludf.DUMMYFUNCTION("""COMPUTED_VALUE"""),5.0)</f>
        <v>5</v>
      </c>
      <c r="D141" s="82" t="str">
        <f>IFERROR(__xludf.DUMMYFUNCTION("""COMPUTED_VALUE"""),"Completed")</f>
        <v>Completed</v>
      </c>
      <c r="E141" s="86">
        <f>IFERROR(__xludf.DUMMYFUNCTION("IMPORTRANGE(""https://docs.google.com/spreadsheets/d/1mlCMscOxt8nC-O20jFIU01HcIeeB2T_UHla6m4Iknig/edit?gid=0#gid=0"",""Project details!B12"")"),350283.0)</f>
        <v>350283</v>
      </c>
      <c r="F141" s="86">
        <f>IFERROR(__xludf.DUMMYFUNCTION("IMPORTRANGE(""https://docs.google.com/spreadsheets/d/1mlCMscOxt8nC-O20jFIU01HcIeeB2T_UHla6m4Iknig/edit?gid=0#gid=0"",""Project details!B13"")"),272299.52)</f>
        <v>272299.52</v>
      </c>
      <c r="G141" s="87">
        <f>IFERROR(__xludf.DUMMYFUNCTION("IMPORTRANGE(""https://docs.google.com/spreadsheets/d/1mlCMscOxt8nC-O20jFIU01HcIeeB2T_UHla6m4Iknig/edit?gid=0#gid=0"",""Project details!D12"")"),0.1)</f>
        <v>0.1</v>
      </c>
      <c r="H141" s="87">
        <f>IFERROR(__xludf.DUMMYFUNCTION("IMPORTRANGE(""https://docs.google.com/spreadsheets/d/1mlCMscOxt8nC-O20jFIU01HcIeeB2T_UHla6m4Iknig/edit?gid=0#gid=0"",""Project details!D13"")"),0.22262993065606948)</f>
        <v>0.2226299307</v>
      </c>
      <c r="I141" s="85">
        <v>2025.0</v>
      </c>
      <c r="J141" s="83">
        <f t="shared" si="13"/>
        <v>77983.48</v>
      </c>
    </row>
    <row r="142">
      <c r="A142" s="80">
        <f>IFERROR(__xludf.DUMMYFUNCTION("""COMPUTED_VALUE"""),141.0)</f>
        <v>141</v>
      </c>
      <c r="B142" s="109" t="str">
        <f>IFERROR(__xludf.DUMMYFUNCTION("""COMPUTED_VALUE"""),"Ramaniyam Nagas")</f>
        <v>Ramaniyam Nagas</v>
      </c>
      <c r="C142" s="89">
        <f>IFERROR(__xludf.DUMMYFUNCTION("""COMPUTED_VALUE"""),3.3)</f>
        <v>3.3</v>
      </c>
      <c r="D142" s="82" t="str">
        <f>IFERROR(__xludf.DUMMYFUNCTION("""COMPUTED_VALUE"""),"Completed")</f>
        <v>Completed</v>
      </c>
      <c r="E142" s="86">
        <f>IFERROR(__xludf.DUMMYFUNCTION("IMPORTRANGE(""https://docs.google.com/spreadsheets/d/1v2yPXuEsPq720ZL3RAUd2_tVuUUKv5uhoGjNhdGJbg4/edit?gid=0#gid=0"",""Project details!B12"")"),184340.0)</f>
        <v>184340</v>
      </c>
      <c r="F142" s="86">
        <f>IFERROR(__xludf.DUMMYFUNCTION("IMPORTRANGE(""https://docs.google.com/spreadsheets/d/1v2yPXuEsPq720ZL3RAUd2_tVuUUKv5uhoGjNhdGJbg4/edit?gid=0#gid=0"",""Project details!B13"")"),105770.61600000001)</f>
        <v>105770.616</v>
      </c>
      <c r="G142" s="87">
        <f>IFERROR(__xludf.DUMMYFUNCTION("IMPORTRANGE(""https://docs.google.com/spreadsheets/d/1v2yPXuEsPq720ZL3RAUd2_tVuUUKv5uhoGjNhdGJbg4/edit?gid=0#gid=0"",""Project details!D12"")"),0.15)</f>
        <v>0.15</v>
      </c>
      <c r="H142" s="87">
        <f>IFERROR(__xludf.DUMMYFUNCTION("IMPORTRANGE(""https://docs.google.com/spreadsheets/d/1v2yPXuEsPq720ZL3RAUd2_tVuUUKv5uhoGjNhdGJbg4/edit?gid=0#gid=0"",""Project details!D13"")"),0.4262199414126071)</f>
        <v>0.4262199414</v>
      </c>
      <c r="I142" s="85">
        <v>2025.0</v>
      </c>
      <c r="J142" s="83">
        <f t="shared" si="13"/>
        <v>78569.384</v>
      </c>
    </row>
    <row r="143">
      <c r="A143" s="88">
        <f>IFERROR(__xludf.DUMMYFUNCTION("""COMPUTED_VALUE"""),142.0)</f>
        <v>142</v>
      </c>
      <c r="B143" s="109" t="str">
        <f>IFERROR(__xludf.DUMMYFUNCTION("""COMPUTED_VALUE"""),"Ramaniyam tulsi")</f>
        <v>Ramaniyam tulsi</v>
      </c>
      <c r="C143" s="89">
        <f>IFERROR(__xludf.DUMMYFUNCTION("""COMPUTED_VALUE"""),5.0)</f>
        <v>5</v>
      </c>
      <c r="D143" s="82" t="str">
        <f>IFERROR(__xludf.DUMMYFUNCTION("""COMPUTED_VALUE"""),"Completed")</f>
        <v>Completed</v>
      </c>
      <c r="E143" s="86">
        <f>IFERROR(__xludf.DUMMYFUNCTION("IMPORTRANGE(""https://docs.google.com/spreadsheets/d/1X_H0myBfT2AnZUSjAaIEXN8NvoHl2kdK6k2jF9ZnLP8/edit?gid=1405343218#gid=1405343218&amp;fvid=1997500649"",""Project details!B12"")"),307977.0)</f>
        <v>307977</v>
      </c>
      <c r="F143" s="86">
        <f>IFERROR(__xludf.DUMMYFUNCTION("IMPORTRANGE(""https://docs.google.com/spreadsheets/d/1X_H0myBfT2AnZUSjAaIEXN8NvoHl2kdK6k2jF9ZnLP8/edit?gid=1405343218#gid=1405343218&amp;fvid=1997500649"",""Project details!B13"")"),184759.32)</f>
        <v>184759.32</v>
      </c>
      <c r="G143" s="87">
        <f>IFERROR(__xludf.DUMMYFUNCTION("IMPORTRANGE(""https://docs.google.com/spreadsheets/d/1X_H0myBfT2AnZUSjAaIEXN8NvoHl2kdK6k2jF9ZnLP8/edit?gid=1405343218#gid=1405343218&amp;fvid=1997500649"",""Project details!D12"")"),0.1)</f>
        <v>0.1</v>
      </c>
      <c r="H143" s="87">
        <f>IFERROR(__xludf.DUMMYFUNCTION("IMPORTRANGE(""https://docs.google.com/spreadsheets/d/1X_H0myBfT2AnZUSjAaIEXN8NvoHl2kdK6k2jF9ZnLP8/edit?gid=1405343218#gid=1405343218&amp;fvid=1997500649"",""Project details!D13"")"),0.40008727924487864)</f>
        <v>0.4000872792</v>
      </c>
      <c r="I143" s="85">
        <v>2025.0</v>
      </c>
      <c r="J143" s="83">
        <f t="shared" si="13"/>
        <v>123217.68</v>
      </c>
    </row>
    <row r="144">
      <c r="A144" s="88">
        <f>IFERROR(__xludf.DUMMYFUNCTION("""COMPUTED_VALUE"""),143.0)</f>
        <v>143</v>
      </c>
      <c r="B144" s="109" t="str">
        <f>IFERROR(__xludf.DUMMYFUNCTION("""COMPUTED_VALUE"""),"Ramaniyam Anugraha")</f>
        <v>Ramaniyam Anugraha</v>
      </c>
      <c r="C144" s="89">
        <f>IFERROR(__xludf.DUMMYFUNCTION("""COMPUTED_VALUE"""),8.8)</f>
        <v>8.8</v>
      </c>
      <c r="D144" s="82" t="str">
        <f>IFERROR(__xludf.DUMMYFUNCTION("""COMPUTED_VALUE"""),"Completed")</f>
        <v>Completed</v>
      </c>
      <c r="E144" s="86">
        <f>IFERROR(__xludf.DUMMYFUNCTION("IMPORTRANGE(""https://docs.google.com/spreadsheets/d/1jr5aZnCK0eoebSfvE1w-zDxG4l8TEeeYIC6ZKkRcGuc/edit?gid=0#gid=0"",""Project details!B12"")"),418861.0)</f>
        <v>418861</v>
      </c>
      <c r="F144" s="86">
        <f>IFERROR(__xludf.DUMMYFUNCTION("IMPORTRANGE(""https://docs.google.com/spreadsheets/d/1jr5aZnCK0eoebSfvE1w-zDxG4l8TEeeYIC6ZKkRcGuc/edit?gid=0#gid=0"",""Project details!B13"")"),265410.2200000001)</f>
        <v>265410.22</v>
      </c>
      <c r="G144" s="87">
        <f>IFERROR(__xludf.DUMMYFUNCTION("IMPORTRANGE(""https://docs.google.com/spreadsheets/d/1jr5aZnCK0eoebSfvE1w-zDxG4l8TEeeYIC6ZKkRcGuc/edit?gid=0#gid=0"",""Project details!D12"")"),0.1)</f>
        <v>0.1</v>
      </c>
      <c r="H144" s="87">
        <f>IFERROR(__xludf.DUMMYFUNCTION("IMPORTRANGE(""https://docs.google.com/spreadsheets/d/1jr5aZnCK0eoebSfvE1w-zDxG4l8TEeeYIC6ZKkRcGuc/edit?gid=0#gid=0"",""Project details!D13"")"),0.36635251312487893)</f>
        <v>0.3663525131</v>
      </c>
      <c r="I144" s="85">
        <v>2025.0</v>
      </c>
      <c r="J144" s="83">
        <f t="shared" si="13"/>
        <v>153450.78</v>
      </c>
    </row>
    <row r="145">
      <c r="A145" s="80">
        <f>IFERROR(__xludf.DUMMYFUNCTION("""COMPUTED_VALUE"""),144.0)</f>
        <v>144</v>
      </c>
      <c r="B145" s="109" t="str">
        <f>IFERROR(__xludf.DUMMYFUNCTION("""COMPUTED_VALUE"""),"Ramaniyam Ocean dew Block 4")</f>
        <v>Ramaniyam Ocean dew Block 4</v>
      </c>
      <c r="C145" s="89">
        <f>IFERROR(__xludf.DUMMYFUNCTION("""COMPUTED_VALUE"""),8.8)</f>
        <v>8.8</v>
      </c>
      <c r="D145" s="82" t="str">
        <f>IFERROR(__xludf.DUMMYFUNCTION("""COMPUTED_VALUE"""),"Completed")</f>
        <v>Completed</v>
      </c>
      <c r="E145" s="86">
        <f>IFERROR(__xludf.DUMMYFUNCTION("IMPORTRANGE(""https://docs.google.com/spreadsheets/d/13DxQY0S7J5BhIc_gTD1TuxsycB87R8baHCdzlWZPDZY/edit?gid=0#gid=0"",""Project details!B12"")"),418861.0)</f>
        <v>418861</v>
      </c>
      <c r="F145" s="86">
        <f>IFERROR(__xludf.DUMMYFUNCTION("IMPORTRANGE(""https://docs.google.com/spreadsheets/d/13DxQY0S7J5BhIc_gTD1TuxsycB87R8baHCdzlWZPDZY/edit?gid=0#gid=0"",""Project details!B13"")"),253814.60799999998)</f>
        <v>253814.608</v>
      </c>
      <c r="G145" s="87">
        <f>IFERROR(__xludf.DUMMYFUNCTION("IMPORTRANGE(""https://docs.google.com/spreadsheets/d/13DxQY0S7J5BhIc_gTD1TuxsycB87R8baHCdzlWZPDZY/edit?gid=0#gid=0"",""Project details!D12"")"),0.1)</f>
        <v>0.1</v>
      </c>
      <c r="H145" s="87">
        <f>IFERROR(__xludf.DUMMYFUNCTION("IMPORTRANGE(""https://docs.google.com/spreadsheets/d/13DxQY0S7J5BhIc_gTD1TuxsycB87R8baHCdzlWZPDZY/edit?gid=0#gid=0"",""Project details!D13"")"),0.3940361886162713)</f>
        <v>0.3940361886</v>
      </c>
      <c r="I145" s="85">
        <v>2025.0</v>
      </c>
      <c r="J145" s="83">
        <f t="shared" si="13"/>
        <v>165046.392</v>
      </c>
    </row>
    <row r="146">
      <c r="A146" s="80">
        <f>IFERROR(__xludf.DUMMYFUNCTION("""COMPUTED_VALUE"""),145.0)</f>
        <v>145</v>
      </c>
      <c r="B146" s="109" t="str">
        <f>IFERROR(__xludf.DUMMYFUNCTION("""COMPUTED_VALUE"""),"Ramaniyam Ocean dew Block 5")</f>
        <v>Ramaniyam Ocean dew Block 5</v>
      </c>
      <c r="C146" s="89">
        <f>IFERROR(__xludf.DUMMYFUNCTION("""COMPUTED_VALUE"""),8.8)</f>
        <v>8.8</v>
      </c>
      <c r="D146" s="82" t="str">
        <f>IFERROR(__xludf.DUMMYFUNCTION("""COMPUTED_VALUE"""),"Completed")</f>
        <v>Completed</v>
      </c>
      <c r="E146" s="86">
        <f>IFERROR(__xludf.DUMMYFUNCTION("IMPORTRANGE(""https://docs.google.com/spreadsheets/d/1Bh34_JDhXKvAk1V42wmACeTkpJgyMpsC1Qkt8kw1IPM/edit?gid=0#gid=0"",""project details!B12"")"),425056.0)</f>
        <v>425056</v>
      </c>
      <c r="F146" s="86">
        <f>IFERROR(__xludf.DUMMYFUNCTION("IMPORTRANGE(""https://docs.google.com/spreadsheets/d/1Bh34_JDhXKvAk1V42wmACeTkpJgyMpsC1Qkt8kw1IPM/edit?gid=0#gid=0"",""project details!B13"")"),255520.61999999997)</f>
        <v>255520.62</v>
      </c>
      <c r="G146" s="87">
        <f>IFERROR(__xludf.DUMMYFUNCTION("IMPORTRANGE(""https://docs.google.com/spreadsheets/d/1Bh34_JDhXKvAk1V42wmACeTkpJgyMpsC1Qkt8kw1IPM/edit?gid=0#gid=0"",""project details!D12"")"),0.1)</f>
        <v>0.1</v>
      </c>
      <c r="H146" s="87">
        <f>IFERROR(__xludf.DUMMYFUNCTION("IMPORTRANGE(""https://docs.google.com/spreadsheets/d/1Bh34_JDhXKvAk1V42wmACeTkpJgyMpsC1Qkt8kw1IPM/edit?gid=0#gid=0"",""project details!D13"")"),0.39885422156139433)</f>
        <v>0.3988542216</v>
      </c>
      <c r="I146" s="85">
        <v>2025.0</v>
      </c>
      <c r="J146" s="83">
        <f t="shared" si="13"/>
        <v>169535.38</v>
      </c>
    </row>
    <row r="147">
      <c r="A147" s="88">
        <f>IFERROR(__xludf.DUMMYFUNCTION("""COMPUTED_VALUE"""),146.0)</f>
        <v>146</v>
      </c>
      <c r="B147" s="109" t="str">
        <f>IFERROR(__xludf.DUMMYFUNCTION("""COMPUTED_VALUE"""),"Ramaniyam Vedha")</f>
        <v>Ramaniyam Vedha</v>
      </c>
      <c r="C147" s="89">
        <f>IFERROR(__xludf.DUMMYFUNCTION("""COMPUTED_VALUE"""),3.3)</f>
        <v>3.3</v>
      </c>
      <c r="D147" s="82" t="str">
        <f>IFERROR(__xludf.DUMMYFUNCTION("""COMPUTED_VALUE"""),"Completed")</f>
        <v>Completed</v>
      </c>
      <c r="E147" s="86">
        <f>IFERROR(__xludf.DUMMYFUNCTION("IMPORTRANGE(""https://docs.google.com/spreadsheets/d/1pwA3e6WbhzHzoHG3hNzE-_-lp0KTF5RVijYqUqSRgK0/edit?gid=0#gid=0"",""project details!B12"")"),184340.0)</f>
        <v>184340</v>
      </c>
      <c r="F147" s="86">
        <f>IFERROR(__xludf.DUMMYFUNCTION("IMPORTRANGE(""https://docs.google.com/spreadsheets/d/1pwA3e6WbhzHzoHG3hNzE-_-lp0KTF5RVijYqUqSRgK0/edit?gid=0#gid=0"",""project details!B13"")"),102648.39600000001)</f>
        <v>102648.396</v>
      </c>
      <c r="G147" s="87">
        <f>IFERROR(__xludf.DUMMYFUNCTION("IMPORTRANGE(""https://docs.google.com/spreadsheets/d/1pwA3e6WbhzHzoHG3hNzE-_-lp0KTF5RVijYqUqSRgK0/edit?gid=0#gid=0"",""project details!D12"")"),0.1)</f>
        <v>0.1</v>
      </c>
      <c r="H147" s="87">
        <f>IFERROR(__xludf.DUMMYFUNCTION("IMPORTRANGE(""https://docs.google.com/spreadsheets/d/1pwA3e6WbhzHzoHG3hNzE-_-lp0KTF5RVijYqUqSRgK0/edit?gid=0#gid=0"",""project details!D13"")"),0.44315723120321143)</f>
        <v>0.4431572312</v>
      </c>
      <c r="I147" s="85">
        <v>2025.0</v>
      </c>
      <c r="J147" s="83">
        <f t="shared" si="13"/>
        <v>81691.604</v>
      </c>
    </row>
    <row r="148">
      <c r="A148" s="88">
        <f>IFERROR(__xludf.DUMMYFUNCTION("""COMPUTED_VALUE"""),147.0)</f>
        <v>147</v>
      </c>
      <c r="B148" s="109" t="str">
        <f>IFERROR(__xludf.DUMMYFUNCTION("""COMPUTED_VALUE"""),"Town &amp; Country Project")</f>
        <v>Town &amp; Country Project</v>
      </c>
      <c r="C148" s="89">
        <f>IFERROR(__xludf.DUMMYFUNCTION("""COMPUTED_VALUE"""),0.0)</f>
        <v>0</v>
      </c>
      <c r="D148" s="82" t="str">
        <f>IFERROR(__xludf.DUMMYFUNCTION("""COMPUTED_VALUE"""),"Completed")</f>
        <v>Completed</v>
      </c>
      <c r="E148" s="112">
        <v>21240.0</v>
      </c>
      <c r="F148" s="112">
        <v>8000.0</v>
      </c>
      <c r="G148" s="113">
        <v>0.1</v>
      </c>
      <c r="H148" s="113">
        <f>(E148-F148)/E148</f>
        <v>0.6233521657</v>
      </c>
      <c r="I148" s="85">
        <v>2025.0</v>
      </c>
      <c r="J148" s="83">
        <f t="shared" si="13"/>
        <v>13240</v>
      </c>
    </row>
    <row r="149">
      <c r="A149" s="88">
        <f>IFERROR(__xludf.DUMMYFUNCTION("""COMPUTED_VALUE"""),148.0)</f>
        <v>148</v>
      </c>
      <c r="B149" s="109" t="str">
        <f>IFERROR(__xludf.DUMMYFUNCTION("""COMPUTED_VALUE"""),"Nithya Akshayam")</f>
        <v>Nithya Akshayam</v>
      </c>
      <c r="C149" s="89">
        <f>IFERROR(__xludf.DUMMYFUNCTION("""COMPUTED_VALUE"""),5.5)</f>
        <v>5.5</v>
      </c>
      <c r="D149" s="82" t="str">
        <f>IFERROR(__xludf.DUMMYFUNCTION("""COMPUTED_VALUE"""),"Completed")</f>
        <v>Completed</v>
      </c>
      <c r="E149" s="86">
        <f>IFERROR(__xludf.DUMMYFUNCTION("IMPORTRANGE(""https://docs.google.com/spreadsheets/d/1lgB4xCWmCvIWdisGkyJ4wPFe7XOpmB45KX_VwQKUzlQ/edit?gid=0#gid=0"",""Project details!B12"")"),323000.0)</f>
        <v>323000</v>
      </c>
      <c r="F149" s="86">
        <f>IFERROR(__xludf.DUMMYFUNCTION("IMPORTRANGE(""https://docs.google.com/spreadsheets/d/1lgB4xCWmCvIWdisGkyJ4wPFe7XOpmB45KX_VwQKUzlQ/edit?gid=0#gid=0"",""Project details!B13"")"),217251.71999999997)</f>
        <v>217251.72</v>
      </c>
      <c r="G149" s="87">
        <f>IFERROR(__xludf.DUMMYFUNCTION("IMPORTRANGE(""https://docs.google.com/spreadsheets/d/1lgB4xCWmCvIWdisGkyJ4wPFe7XOpmB45KX_VwQKUzlQ/edit?gid=0#gid=0"",""Project details!D12"")"),0.1)</f>
        <v>0.1</v>
      </c>
      <c r="H149" s="87">
        <f>IFERROR(__xludf.DUMMYFUNCTION("IMPORTRANGE(""https://docs.google.com/spreadsheets/d/1lgB4xCWmCvIWdisGkyJ4wPFe7XOpmB45KX_VwQKUzlQ/edit?gid=0#gid=0"",""Project details!D13"")"),0.32739405572755426)</f>
        <v>0.3273940557</v>
      </c>
      <c r="I149" s="85">
        <v>2025.0</v>
      </c>
      <c r="J149" s="83">
        <f t="shared" si="13"/>
        <v>105748.28</v>
      </c>
    </row>
    <row r="150">
      <c r="A150" s="88">
        <f>IFERROR(__xludf.DUMMYFUNCTION("""COMPUTED_VALUE"""),149.0)</f>
        <v>149</v>
      </c>
      <c r="B150" s="109" t="str">
        <f>IFERROR(__xludf.DUMMYFUNCTION("""COMPUTED_VALUE"""),"Mr Vishnu Vijay")</f>
        <v>Mr Vishnu Vijay</v>
      </c>
      <c r="C150" s="89">
        <f>IFERROR(__xludf.DUMMYFUNCTION("""COMPUTED_VALUE"""),3.3)</f>
        <v>3.3</v>
      </c>
      <c r="D150" s="82" t="str">
        <f>IFERROR(__xludf.DUMMYFUNCTION("""COMPUTED_VALUE"""),"Completed")</f>
        <v>Completed</v>
      </c>
      <c r="E150" s="86">
        <f>IFERROR(__xludf.DUMMYFUNCTION("IMPORTRANGE(""https://docs.google.com/spreadsheets/d/1XIQnQnGvM2PWRAGwVK45FNJa7uCltfCRy1Ia3H8bALg/edit?gid=0#gid=0"",""Project details!B12"")"),210926.0)</f>
        <v>210926</v>
      </c>
      <c r="F150" s="86">
        <f>IFERROR(__xludf.DUMMYFUNCTION("IMPORTRANGE(""https://docs.google.com/spreadsheets/d/1XIQnQnGvM2PWRAGwVK45FNJa7uCltfCRy1Ia3H8bALg/edit?gid=0#gid=0"",""Project details!B13"")"),137745.14000000004)</f>
        <v>137745.14</v>
      </c>
      <c r="G150" s="87">
        <f>IFERROR(__xludf.DUMMYFUNCTION("IMPORTRANGE(""https://docs.google.com/spreadsheets/d/1XIQnQnGvM2PWRAGwVK45FNJa7uCltfCRy1Ia3H8bALg/edit?gid=0#gid=0"",""Project details!D12"")"),0.1)</f>
        <v>0.1</v>
      </c>
      <c r="H150" s="87">
        <f>IFERROR(__xludf.DUMMYFUNCTION("IMPORTRANGE(""https://docs.google.com/spreadsheets/d/1XIQnQnGvM2PWRAGwVK45FNJa7uCltfCRy1Ia3H8bALg/edit?gid=0#gid=0"",""Project details!D13"")"),0.3469503996662335)</f>
        <v>0.3469503997</v>
      </c>
      <c r="I150" s="114">
        <v>2025.0</v>
      </c>
      <c r="J150" s="83">
        <f t="shared" si="13"/>
        <v>73180.86</v>
      </c>
    </row>
    <row r="151">
      <c r="A151" s="88">
        <f>IFERROR(__xludf.DUMMYFUNCTION("""COMPUTED_VALUE"""),150.0)</f>
        <v>150</v>
      </c>
      <c r="B151" s="109" t="str">
        <f>IFERROR(__xludf.DUMMYFUNCTION("""COMPUTED_VALUE"""),"M/s Srividya Srikanth")</f>
        <v>M/s Srividya Srikanth</v>
      </c>
      <c r="C151" s="89">
        <f>IFERROR(__xludf.DUMMYFUNCTION("""COMPUTED_VALUE"""),3.3)</f>
        <v>3.3</v>
      </c>
      <c r="D151" s="82" t="str">
        <f>IFERROR(__xludf.DUMMYFUNCTION("""COMPUTED_VALUE"""),"Completed")</f>
        <v>Completed</v>
      </c>
      <c r="E151" s="115">
        <f>IFERROR(__xludf.DUMMYFUNCTION("IMPORTRANGE(""https://docs.google.com/spreadsheets/d/1-bddzBN482UZFXcqltQ-pw0ccyDdzFa3zMz7LKN7gb8/edit?gid=0#gid=0"",""Project details!B12"")"),217532.0)</f>
        <v>217532</v>
      </c>
      <c r="F151" s="115">
        <f>IFERROR(__xludf.DUMMYFUNCTION("IMPORTRANGE(""https://docs.google.com/spreadsheets/d/1-bddzBN482UZFXcqltQ-pw0ccyDdzFa3zMz7LKN7gb8/edit?gid=0#gid=0"",""Project details!B13"")"),164385.1)</f>
        <v>164385.1</v>
      </c>
      <c r="G151" s="116">
        <f>IFERROR(__xludf.DUMMYFUNCTION("IMPORTRANGE(""https://docs.google.com/spreadsheets/d/1-bddzBN482UZFXcqltQ-pw0ccyDdzFa3zMz7LKN7gb8/edit?gid=0#gid=0"",""Project details!D12"")"),0.1)</f>
        <v>0.1</v>
      </c>
      <c r="H151" s="116">
        <f>IFERROR(__xludf.DUMMYFUNCTION("IMPORTRANGE(""https://docs.google.com/spreadsheets/d/1-bddzBN482UZFXcqltQ-pw0ccyDdzFa3zMz7LKN7gb8/edit?gid=0#gid=0"",""Project details!D13"")"),0.24431761763786475)</f>
        <v>0.2443176176</v>
      </c>
      <c r="I151" s="114">
        <v>2025.0</v>
      </c>
      <c r="J151" s="83">
        <f t="shared" si="13"/>
        <v>53146.9</v>
      </c>
    </row>
    <row r="152">
      <c r="A152" s="80">
        <f>IFERROR(__xludf.DUMMYFUNCTION("""COMPUTED_VALUE"""),151.0)</f>
        <v>151</v>
      </c>
      <c r="B152" s="117" t="str">
        <f>IFERROR(__xludf.DUMMYFUNCTION("""COMPUTED_VALUE"""),"Mr Subramanian")</f>
        <v>Mr Subramanian</v>
      </c>
      <c r="C152" s="89">
        <f>IFERROR(__xludf.DUMMYFUNCTION("""COMPUTED_VALUE"""),6.6)</f>
        <v>6.6</v>
      </c>
      <c r="D152" s="82" t="str">
        <f>IFERROR(__xludf.DUMMYFUNCTION("""COMPUTED_VALUE"""),"Completed")</f>
        <v>Completed</v>
      </c>
      <c r="E152" s="115">
        <f>IFERROR(__xludf.DUMMYFUNCTION("IMPORTRANGE(""https://docs.google.com/spreadsheets/d/1lGZc1jBe-9JH7rJWa360EHHRWHoRVdpabDQBaK0yjFg/edit?gid=1405343218#gid=1405343218"",""Project details!B12"")"),430000.0)</f>
        <v>430000</v>
      </c>
      <c r="F152" s="115">
        <f>IFERROR(__xludf.DUMMYFUNCTION("IMPORTRANGE(""https://docs.google.com/spreadsheets/d/1lGZc1jBe-9JH7rJWa360EHHRWHoRVdpabDQBaK0yjFg/edit?gid=1405343218#gid=1405343218"",""Project details!B13"")"),292687.4)</f>
        <v>292687.4</v>
      </c>
      <c r="G152" s="116">
        <f>IFERROR(__xludf.DUMMYFUNCTION("IMPORTRANGE(""https://docs.google.com/spreadsheets/d/1lGZc1jBe-9JH7rJWa360EHHRWHoRVdpabDQBaK0yjFg/edit?gid=1405343218#gid=1405343218"",""Project details!D12"")"),0.1)</f>
        <v>0.1</v>
      </c>
      <c r="H152" s="116">
        <f>IFERROR(__xludf.DUMMYFUNCTION("IMPORTRANGE(""https://docs.google.com/spreadsheets/d/1lGZc1jBe-9JH7rJWa360EHHRWHoRVdpabDQBaK0yjFg/edit?gid=1405343218#gid=1405343218"",""Project details!D13"")"),0.31933162790697667)</f>
        <v>0.3193316279</v>
      </c>
      <c r="I152" s="85">
        <v>2025.0</v>
      </c>
      <c r="J152" s="83">
        <f t="shared" si="13"/>
        <v>137312.6</v>
      </c>
    </row>
    <row r="153">
      <c r="A153" s="80">
        <f>IFERROR(__xludf.DUMMYFUNCTION("""COMPUTED_VALUE"""),152.0)</f>
        <v>152</v>
      </c>
      <c r="B153" s="109" t="str">
        <f>IFERROR(__xludf.DUMMYFUNCTION("""COMPUTED_VALUE"""),"Mr Babu Govindrajan ")</f>
        <v>Mr Babu Govindrajan </v>
      </c>
      <c r="C153" s="89">
        <f>IFERROR(__xludf.DUMMYFUNCTION("""COMPUTED_VALUE"""),3.3)</f>
        <v>3.3</v>
      </c>
      <c r="D153" s="82" t="str">
        <f>IFERROR(__xludf.DUMMYFUNCTION("""COMPUTED_VALUE"""),"Completed")</f>
        <v>Completed</v>
      </c>
      <c r="E153" s="86">
        <f>IFERROR(__xludf.DUMMYFUNCTION("IMPORTRANGE(""https://docs.google.com/spreadsheets/d/1e0qiSzFUoCfJbODbN9GN3HtQ_q4tLrSpvnw0zESDopo/edit?gid=0#gid=0"",""Project details!B12"")"),195000.0)</f>
        <v>195000</v>
      </c>
      <c r="F153" s="86">
        <f>IFERROR(__xludf.DUMMYFUNCTION("IMPORTRANGE(""https://docs.google.com/spreadsheets/d/1e0qiSzFUoCfJbODbN9GN3HtQ_q4tLrSpvnw0zESDopo/edit?gid=0#gid=0"",""Project details!B13"")"),151755.26000000007)</f>
        <v>151755.26</v>
      </c>
      <c r="G153" s="87">
        <f>IFERROR(__xludf.DUMMYFUNCTION("IMPORTRANGE(""https://docs.google.com/spreadsheets/d/1e0qiSzFUoCfJbODbN9GN3HtQ_q4tLrSpvnw0zESDopo/edit?gid=0#gid=0"",""Project details!D12"")"),0.1)</f>
        <v>0.1</v>
      </c>
      <c r="H153" s="87">
        <f>IFERROR(__xludf.DUMMYFUNCTION("IMPORTRANGE(""https://docs.google.com/spreadsheets/d/1e0qiSzFUoCfJbODbN9GN3HtQ_q4tLrSpvnw0zESDopo/edit?gid=0#gid=0"",""Project details!D13"")"),0.2217678974358971)</f>
        <v>0.2217678974</v>
      </c>
      <c r="I153" s="85">
        <v>2025.0</v>
      </c>
      <c r="J153" s="83">
        <f t="shared" si="13"/>
        <v>43244.74</v>
      </c>
    </row>
    <row r="154">
      <c r="A154" s="88">
        <f>IFERROR(__xludf.DUMMYFUNCTION("""COMPUTED_VALUE"""),153.0)</f>
        <v>153</v>
      </c>
      <c r="B154" s="109" t="str">
        <f>IFERROR(__xludf.DUMMYFUNCTION("""COMPUTED_VALUE"""),"Mr Saravanan")</f>
        <v>Mr Saravanan</v>
      </c>
      <c r="C154" s="89">
        <f>IFERROR(__xludf.DUMMYFUNCTION("""COMPUTED_VALUE"""),5.0)</f>
        <v>5</v>
      </c>
      <c r="D154" s="82" t="str">
        <f>IFERROR(__xludf.DUMMYFUNCTION("""COMPUTED_VALUE"""),"Completed")</f>
        <v>Completed</v>
      </c>
      <c r="E154" s="86">
        <f>IFERROR(__xludf.DUMMYFUNCTION("IMPORTRANGE(""https://docs.google.com/spreadsheets/d/14ua_LWA8-zAuVRWcFUbF0l7olVTgk5V6qPy0tooFsg8/edit?gid=0#gid=0"",""Project details!B12"")"),251499.0)</f>
        <v>251499</v>
      </c>
      <c r="F154" s="86">
        <f>IFERROR(__xludf.DUMMYFUNCTION("IMPORTRANGE(""https://docs.google.com/spreadsheets/d/14ua_LWA8-zAuVRWcFUbF0l7olVTgk5V6qPy0tooFsg8/edit?gid=0#gid=0"",""Project details!B13"")"),164932.67999999996)</f>
        <v>164932.68</v>
      </c>
      <c r="G154" s="87">
        <f>IFERROR(__xludf.DUMMYFUNCTION("IMPORTRANGE(""https://docs.google.com/spreadsheets/d/14ua_LWA8-zAuVRWcFUbF0l7olVTgk5V6qPy0tooFsg8/edit?gid=0#gid=0"",""Project details!D12"")"),0.1)</f>
        <v>0.1</v>
      </c>
      <c r="H154" s="87">
        <f>IFERROR(__xludf.DUMMYFUNCTION("IMPORTRANGE(""https://docs.google.com/spreadsheets/d/14ua_LWA8-zAuVRWcFUbF0l7olVTgk5V6qPy0tooFsg8/edit?gid=0#gid=0"",""Project details!D13"")"),0.3442014481170901)</f>
        <v>0.3442014481</v>
      </c>
      <c r="I154" s="85">
        <v>2025.0</v>
      </c>
      <c r="J154" s="83">
        <f t="shared" si="13"/>
        <v>86566.32</v>
      </c>
    </row>
    <row r="155">
      <c r="A155" s="88">
        <f>IFERROR(__xludf.DUMMYFUNCTION("""COMPUTED_VALUE"""),154.0)</f>
        <v>154</v>
      </c>
      <c r="B155" s="109" t="str">
        <f>IFERROR(__xludf.DUMMYFUNCTION("""COMPUTED_VALUE"""),"Mr Sairam")</f>
        <v>Mr Sairam</v>
      </c>
      <c r="C155" s="89">
        <f>IFERROR(__xludf.DUMMYFUNCTION("""COMPUTED_VALUE"""),5.0)</f>
        <v>5</v>
      </c>
      <c r="D155" s="82" t="str">
        <f>IFERROR(__xludf.DUMMYFUNCTION("""COMPUTED_VALUE"""),"Completed")</f>
        <v>Completed</v>
      </c>
      <c r="E155" s="86">
        <f>IFERROR(__xludf.DUMMYFUNCTION("IMPORTRANGE(""https://docs.google.com/spreadsheets/d/1fAGbSuxLPtDvyzDAoAxiBYRlLk6aE33v-AP77b58Li8/edit?gid=0#gid=0"",""project details!B12"")"),310233.0)</f>
        <v>310233</v>
      </c>
      <c r="F155" s="86">
        <f>IFERROR(__xludf.DUMMYFUNCTION("IMPORTRANGE(""https://docs.google.com/spreadsheets/d/1fAGbSuxLPtDvyzDAoAxiBYRlLk6aE33v-AP77b58Li8/edit?gid=0#gid=0"",""project details!B13"")"),241055.04)</f>
        <v>241055.04</v>
      </c>
      <c r="G155" s="87">
        <f>IFERROR(__xludf.DUMMYFUNCTION("IMPORTRANGE(""https://docs.google.com/spreadsheets/d/1fAGbSuxLPtDvyzDAoAxiBYRlLk6aE33v-AP77b58Li8/edit?gid=0#gid=0"",""project details!D12"")"),0.1)</f>
        <v>0.1</v>
      </c>
      <c r="H155" s="87">
        <f>IFERROR(__xludf.DUMMYFUNCTION("IMPORTRANGE(""https://docs.google.com/spreadsheets/d/1fAGbSuxLPtDvyzDAoAxiBYRlLk6aE33v-AP77b58Li8/edit?gid=0#gid=0"",""project details!D13"")"),0.2229871096885244)</f>
        <v>0.2229871097</v>
      </c>
      <c r="I155" s="85">
        <v>2025.0</v>
      </c>
      <c r="J155" s="83">
        <f t="shared" si="13"/>
        <v>69177.96</v>
      </c>
    </row>
    <row r="156">
      <c r="A156" s="80">
        <f>IFERROR(__xludf.DUMMYFUNCTION("""COMPUTED_VALUE"""),155.0)</f>
        <v>155</v>
      </c>
      <c r="B156" s="109" t="str">
        <f>IFERROR(__xludf.DUMMYFUNCTION("""COMPUTED_VALUE"""),"Mr Sankaranarayanan")</f>
        <v>Mr Sankaranarayanan</v>
      </c>
      <c r="C156" s="89">
        <f>IFERROR(__xludf.DUMMYFUNCTION("""COMPUTED_VALUE"""),3.3)</f>
        <v>3.3</v>
      </c>
      <c r="D156" s="82" t="str">
        <f>IFERROR(__xludf.DUMMYFUNCTION("""COMPUTED_VALUE"""),"Completed")</f>
        <v>Completed</v>
      </c>
      <c r="E156" s="86">
        <f>IFERROR(__xludf.DUMMYFUNCTION("IMPORTRANGE(""https://docs.google.com/spreadsheets/d/1_B-1S3TcCkxnfssbW_VGEY9RPDS00jfQzWsqghg7XfY/edit?gid=0#gid=0"",""project details!B12"")"),195000.0)</f>
        <v>195000</v>
      </c>
      <c r="F156" s="86">
        <f>IFERROR(__xludf.DUMMYFUNCTION("IMPORTRANGE(""https://docs.google.com/spreadsheets/d/1_B-1S3TcCkxnfssbW_VGEY9RPDS00jfQzWsqghg7XfY/edit?gid=0#gid=0"",""project details!B13"")"),167824.88800000004)</f>
        <v>167824.888</v>
      </c>
      <c r="G156" s="87">
        <f>IFERROR(__xludf.DUMMYFUNCTION("IMPORTRANGE(""https://docs.google.com/spreadsheets/d/1_B-1S3TcCkxnfssbW_VGEY9RPDS00jfQzWsqghg7XfY/edit?gid=0#gid=0"",""project details!D12"")"),0.1)</f>
        <v>0.1</v>
      </c>
      <c r="H156" s="87">
        <f>IFERROR(__xludf.DUMMYFUNCTION("IMPORTRANGE(""https://docs.google.com/spreadsheets/d/1_B-1S3TcCkxnfssbW_VGEY9RPDS00jfQzWsqghg7XfY/edit?gid=0#gid=0"",""project details!D13"")"),0.13935954871794853)</f>
        <v>0.1393595487</v>
      </c>
      <c r="I156" s="85">
        <v>2025.0</v>
      </c>
      <c r="J156" s="83">
        <f t="shared" si="13"/>
        <v>27175.112</v>
      </c>
    </row>
    <row r="157">
      <c r="A157" s="80">
        <f>IFERROR(__xludf.DUMMYFUNCTION("""COMPUTED_VALUE"""),156.0)</f>
        <v>156</v>
      </c>
      <c r="B157" s="109" t="str">
        <f>IFERROR(__xludf.DUMMYFUNCTION("""COMPUTED_VALUE"""),"DRA Skylanties")</f>
        <v>DRA Skylanties</v>
      </c>
      <c r="C157" s="89">
        <f>IFERROR(__xludf.DUMMYFUNCTION("""COMPUTED_VALUE"""),19.0)</f>
        <v>19</v>
      </c>
      <c r="D157" s="82" t="str">
        <f>IFERROR(__xludf.DUMMYFUNCTION("""COMPUTED_VALUE"""),"On Progress")</f>
        <v>On Progress</v>
      </c>
      <c r="E157" s="115">
        <f>IFERROR(__xludf.DUMMYFUNCTION("IMPORTRANGE(""https://docs.google.com/spreadsheets/d/1Qt5yNUnoTo3Gd13coqxOCtXUlDE5x6KYQ2AKazaP784/edit?gid=0#gid=0"",""project details!B12"")"),774973.0)</f>
        <v>774973</v>
      </c>
      <c r="F157" s="115">
        <f>IFERROR(__xludf.DUMMYFUNCTION("IMPORTRANGE(""https://docs.google.com/spreadsheets/d/1Qt5yNUnoTo3Gd13coqxOCtXUlDE5x6KYQ2AKazaP784/edit?gid=0#gid=0"",""project details!B13"")"),775289.16)</f>
        <v>775289.16</v>
      </c>
      <c r="G157" s="116">
        <f>IFERROR(__xludf.DUMMYFUNCTION("IMPORTRANGE(""https://docs.google.com/spreadsheets/d/1Qt5yNUnoTo3Gd13coqxOCtXUlDE5x6KYQ2AKazaP784/edit?gid=0#gid=0"",""project details!D12"")"),0.15)</f>
        <v>0.15</v>
      </c>
      <c r="H157" s="116">
        <f>IFERROR(__xludf.DUMMYFUNCTION("IMPORTRANGE(""https://docs.google.com/spreadsheets/d/1Qt5yNUnoTo3Gd13coqxOCtXUlDE5x6KYQ2AKazaP784/edit?gid=0#gid=0"",""project details!D13"")"),-4.0796259998739646E-4)</f>
        <v>-0.0004079626</v>
      </c>
      <c r="I157" s="114">
        <v>2025.0</v>
      </c>
      <c r="J157" s="83">
        <f t="shared" si="13"/>
        <v>-316.16</v>
      </c>
    </row>
    <row r="158">
      <c r="A158" s="88">
        <f>IFERROR(__xludf.DUMMYFUNCTION("""COMPUTED_VALUE"""),157.0)</f>
        <v>157</v>
      </c>
      <c r="B158" s="109" t="str">
        <f>IFERROR(__xludf.DUMMYFUNCTION("""COMPUTED_VALUE"""),"Mr Venkatesh ")</f>
        <v>Mr Venkatesh </v>
      </c>
      <c r="C158" s="89">
        <f>IFERROR(__xludf.DUMMYFUNCTION("""COMPUTED_VALUE"""),3.3)</f>
        <v>3.3</v>
      </c>
      <c r="D158" s="82" t="str">
        <f>IFERROR(__xludf.DUMMYFUNCTION("""COMPUTED_VALUE"""),"Completed")</f>
        <v>Completed</v>
      </c>
      <c r="E158" s="86">
        <f>IFERROR(__xludf.DUMMYFUNCTION("IMPORTRANGE(""https://docs.google.com/spreadsheets/d/1kzgeBYZtAhuG0IYBixRYCd-uAOd0iqy3AUAm88x9Ai8/edit?gid=0#gid=0"",""project details!B12"")"),180000.0)</f>
        <v>180000</v>
      </c>
      <c r="F158" s="86">
        <f>IFERROR(__xludf.DUMMYFUNCTION("IMPORTRANGE(""https://docs.google.com/spreadsheets/d/1kzgeBYZtAhuG0IYBixRYCd-uAOd0iqy3AUAm88x9Ai8/edit?gid=0#gid=0"",""project details!B13"")"),161805.06)</f>
        <v>161805.06</v>
      </c>
      <c r="G158" s="87">
        <f>IFERROR(__xludf.DUMMYFUNCTION("IMPORTRANGE(""https://docs.google.com/spreadsheets/d/1kzgeBYZtAhuG0IYBixRYCd-uAOd0iqy3AUAm88x9Ai8/edit?gid=0#gid=0"",""project details!D12"")"),0.1)</f>
        <v>0.1</v>
      </c>
      <c r="H158" s="87">
        <f>IFERROR(__xludf.DUMMYFUNCTION("IMPORTRANGE(""https://docs.google.com/spreadsheets/d/1kzgeBYZtAhuG0IYBixRYCd-uAOd0iqy3AUAm88x9Ai8/edit?gid=0#gid=0"",""project details!D13"")"),0.101083)</f>
        <v>0.101083</v>
      </c>
      <c r="I158" s="85">
        <v>2025.0</v>
      </c>
      <c r="J158" s="83">
        <f t="shared" si="13"/>
        <v>18194.94</v>
      </c>
    </row>
    <row r="159">
      <c r="A159" s="88">
        <f>IFERROR(__xludf.DUMMYFUNCTION("""COMPUTED_VALUE"""),158.0)</f>
        <v>158</v>
      </c>
      <c r="B159" s="109" t="str">
        <f>IFERROR(__xludf.DUMMYFUNCTION("""COMPUTED_VALUE"""),"Geeyam Skandha")</f>
        <v>Geeyam Skandha</v>
      </c>
      <c r="C159" s="89">
        <f>IFERROR(__xludf.DUMMYFUNCTION("""COMPUTED_VALUE"""),4.4)</f>
        <v>4.4</v>
      </c>
      <c r="D159" s="82" t="str">
        <f>IFERROR(__xludf.DUMMYFUNCTION("""COMPUTED_VALUE"""),"Completed")</f>
        <v>Completed</v>
      </c>
      <c r="E159" s="86">
        <f>IFERROR(__xludf.DUMMYFUNCTION("IMPORTRANGE(""https://docs.google.com/spreadsheets/d/1TOrvm6RqJqgPmVV_Gyd21B8-9fWiEi-VPxQ4tdTLspg/edit?gid=0#gid=0"",""project details!B12"")"),240000.0)</f>
        <v>240000</v>
      </c>
      <c r="F159" s="86">
        <f>IFERROR(__xludf.DUMMYFUNCTION("IMPORTRANGE(""https://docs.google.com/spreadsheets/d/1TOrvm6RqJqgPmVV_Gyd21B8-9fWiEi-VPxQ4tdTLspg/edit?gid=0#gid=0"",""project details!B13"")"),139141.598)</f>
        <v>139141.598</v>
      </c>
      <c r="G159" s="87">
        <f>IFERROR(__xludf.DUMMYFUNCTION("IMPORTRANGE(""https://docs.google.com/spreadsheets/d/1TOrvm6RqJqgPmVV_Gyd21B8-9fWiEi-VPxQ4tdTLspg/edit?gid=0#gid=0"",""project details!D12"")"),0.1)</f>
        <v>0.1</v>
      </c>
      <c r="H159" s="87">
        <f>IFERROR(__xludf.DUMMYFUNCTION("IMPORTRANGE(""https://docs.google.com/spreadsheets/d/1TOrvm6RqJqgPmVV_Gyd21B8-9fWiEi-VPxQ4tdTLspg/edit?gid=0#gid=0"",""project details!D13"")"),0.42024334166666666)</f>
        <v>0.4202433417</v>
      </c>
      <c r="I159" s="85">
        <v>2025.0</v>
      </c>
      <c r="J159" s="83">
        <f t="shared" si="13"/>
        <v>100858.402</v>
      </c>
    </row>
    <row r="160">
      <c r="A160" s="88">
        <f>IFERROR(__xludf.DUMMYFUNCTION("""COMPUTED_VALUE"""),159.0)</f>
        <v>159</v>
      </c>
      <c r="B160" s="109" t="str">
        <f>IFERROR(__xludf.DUMMYFUNCTION("""COMPUTED_VALUE"""),"Mr Chandran")</f>
        <v>Mr Chandran</v>
      </c>
      <c r="C160" s="89">
        <f>IFERROR(__xludf.DUMMYFUNCTION("""COMPUTED_VALUE"""),4.4)</f>
        <v>4.4</v>
      </c>
      <c r="D160" s="82" t="str">
        <f>IFERROR(__xludf.DUMMYFUNCTION("""COMPUTED_VALUE"""),"Completed")</f>
        <v>Completed</v>
      </c>
      <c r="E160" s="86">
        <f>IFERROR(__xludf.DUMMYFUNCTION("IMPORTRANGE(""https://docs.google.com/spreadsheets/d/1_-A8ZbJH8Sf9_6RcbajGRIRkUIl88D7ll1IQ7ynb0oU/edit?gid=0#gid=0"",""Project details!B12"")"),311398.0)</f>
        <v>311398</v>
      </c>
      <c r="F160" s="86">
        <f>IFERROR(__xludf.DUMMYFUNCTION("IMPORTRANGE(""https://docs.google.com/spreadsheets/d/1_-A8ZbJH8Sf9_6RcbajGRIRkUIl88D7ll1IQ7ynb0oU/edit?gid=0#gid=0"",""Project details!B13"")"),245250.02)</f>
        <v>245250.02</v>
      </c>
      <c r="G160" s="87">
        <f>IFERROR(__xludf.DUMMYFUNCTION("IMPORTRANGE(""https://docs.google.com/spreadsheets/d/1_-A8ZbJH8Sf9_6RcbajGRIRkUIl88D7ll1IQ7ynb0oU/edit?gid=0#gid=0"",""Project details!D12"")"),0.12)</f>
        <v>0.12</v>
      </c>
      <c r="H160" s="87">
        <f>IFERROR(__xludf.DUMMYFUNCTION("IMPORTRANGE(""https://docs.google.com/spreadsheets/d/1_-A8ZbJH8Sf9_6RcbajGRIRkUIl88D7ll1IQ7ynb0oU/edit?gid=0#gid=0"",""Project details!D13"")"),0.2124226231382347)</f>
        <v>0.2124226231</v>
      </c>
      <c r="I160" s="85">
        <v>2025.0</v>
      </c>
      <c r="J160" s="83">
        <f t="shared" si="13"/>
        <v>66147.98</v>
      </c>
    </row>
    <row r="161">
      <c r="A161" s="88">
        <f>IFERROR(__xludf.DUMMYFUNCTION("""COMPUTED_VALUE"""),160.0)</f>
        <v>160</v>
      </c>
      <c r="B161" s="109" t="str">
        <f>IFERROR(__xludf.DUMMYFUNCTION("""COMPUTED_VALUE"""),"Mr Jeyaseelan")</f>
        <v>Mr Jeyaseelan</v>
      </c>
      <c r="C161" s="89">
        <f>IFERROR(__xludf.DUMMYFUNCTION("""COMPUTED_VALUE"""),3.3)</f>
        <v>3.3</v>
      </c>
      <c r="D161" s="82" t="str">
        <f>IFERROR(__xludf.DUMMYFUNCTION("""COMPUTED_VALUE"""),"Completed")</f>
        <v>Completed</v>
      </c>
      <c r="E161" s="86">
        <f>IFERROR(__xludf.DUMMYFUNCTION("IMPORTRANGE(""https://docs.google.com/spreadsheets/d/1b1rFtL7eUAcn3i-vZjuRqlWi8YAs4ZKtwZmDcgWgzUs/edit?gid=0#gid=0"",""project details!B12"")"),195000.0)</f>
        <v>195000</v>
      </c>
      <c r="F161" s="86">
        <f>IFERROR(__xludf.DUMMYFUNCTION("IMPORTRANGE(""https://docs.google.com/spreadsheets/d/1b1rFtL7eUAcn3i-vZjuRqlWi8YAs4ZKtwZmDcgWgzUs/edit?gid=0#gid=0"",""project details!B13"")"),177499.89999999994)</f>
        <v>177499.9</v>
      </c>
      <c r="G161" s="87">
        <f>IFERROR(__xludf.DUMMYFUNCTION("IMPORTRANGE(""https://docs.google.com/spreadsheets/d/1b1rFtL7eUAcn3i-vZjuRqlWi8YAs4ZKtwZmDcgWgzUs/edit?gid=0#gid=0"",""project details!D12"")"),0.1)</f>
        <v>0.1</v>
      </c>
      <c r="H161" s="87">
        <f>IFERROR(__xludf.DUMMYFUNCTION("IMPORTRANGE(""https://docs.google.com/spreadsheets/d/1b1rFtL7eUAcn3i-vZjuRqlWi8YAs4ZKtwZmDcgWgzUs/edit?gid=0#gid=0"",""project details!D13"")"),0.0897441025641029)</f>
        <v>0.08974410256</v>
      </c>
      <c r="I161" s="85">
        <v>2025.0</v>
      </c>
      <c r="J161" s="83">
        <f t="shared" si="13"/>
        <v>17500.1</v>
      </c>
    </row>
    <row r="162">
      <c r="A162" s="88">
        <f>IFERROR(__xludf.DUMMYFUNCTION("""COMPUTED_VALUE"""),161.0)</f>
        <v>161</v>
      </c>
      <c r="B162" s="109" t="str">
        <f>IFERROR(__xludf.DUMMYFUNCTION("""COMPUTED_VALUE"""),"Krishna Ekta")</f>
        <v>Krishna Ekta</v>
      </c>
      <c r="C162" s="89">
        <f>IFERROR(__xludf.DUMMYFUNCTION("""COMPUTED_VALUE"""),3.3)</f>
        <v>3.3</v>
      </c>
      <c r="D162" s="82" t="str">
        <f>IFERROR(__xludf.DUMMYFUNCTION("""COMPUTED_VALUE"""),"Holding from client")</f>
        <v>Holding from client</v>
      </c>
      <c r="E162" s="86">
        <f>IFERROR(__xludf.DUMMYFUNCTION("IMPORTRANGE(""https://docs.google.com/spreadsheets/d/1W_MDyajtDAS6mGGS7YxFxhfQQinsFsegdXIBiNEogmM/edit?gid=0#gid=0"",""project details!B12"")"),172957.0)</f>
        <v>172957</v>
      </c>
      <c r="F162" s="86">
        <f>IFERROR(__xludf.DUMMYFUNCTION("IMPORTRANGE(""https://docs.google.com/spreadsheets/d/1W_MDyajtDAS6mGGS7YxFxhfQQinsFsegdXIBiNEogmM/edit?gid=0#gid=0"",""project details!B13"")"),120578.91600000001)</f>
        <v>120578.916</v>
      </c>
      <c r="G162" s="87">
        <f>IFERROR(__xludf.DUMMYFUNCTION("IMPORTRANGE(""https://docs.google.com/spreadsheets/d/1W_MDyajtDAS6mGGS7YxFxhfQQinsFsegdXIBiNEogmM/edit?gid=0#gid=0"",""project details!D12"")"),0.1)</f>
        <v>0.1</v>
      </c>
      <c r="H162" s="87">
        <f>IFERROR(__xludf.DUMMYFUNCTION("IMPORTRANGE(""https://docs.google.com/spreadsheets/d/1W_MDyajtDAS6mGGS7YxFxhfQQinsFsegdXIBiNEogmM/edit?gid=0#gid=0"",""project details!D13"")"),0.3028387633920569)</f>
        <v>0.3028387634</v>
      </c>
      <c r="I162" s="85">
        <v>2025.0</v>
      </c>
      <c r="J162" s="83">
        <f t="shared" si="13"/>
        <v>52378.084</v>
      </c>
    </row>
    <row r="163">
      <c r="A163" s="80">
        <f>IFERROR(__xludf.DUMMYFUNCTION("""COMPUTED_VALUE"""),162.0)</f>
        <v>162</v>
      </c>
      <c r="B163" s="109" t="str">
        <f>IFERROR(__xludf.DUMMYFUNCTION("""COMPUTED_VALUE"""),"Mr Sriram")</f>
        <v>Mr Sriram</v>
      </c>
      <c r="C163" s="89">
        <f>IFERROR(__xludf.DUMMYFUNCTION("""COMPUTED_VALUE"""),6.0)</f>
        <v>6</v>
      </c>
      <c r="D163" s="82" t="str">
        <f>IFERROR(__xludf.DUMMYFUNCTION("""COMPUTED_VALUE"""),"Completed")</f>
        <v>Completed</v>
      </c>
      <c r="E163" s="86">
        <f>IFERROR(__xludf.DUMMYFUNCTION("IMPORTRANGE(""https://docs.google.com/spreadsheets/d/1qeGbPphFZzoFFjCwaNfx3gqE1de_ck4-q-XReds-Qjc/edit?gid=0#gid=0"",""project details!B12"")"),315000.0)</f>
        <v>315000</v>
      </c>
      <c r="F163" s="86">
        <f>IFERROR(__xludf.DUMMYFUNCTION("IMPORTRANGE(""https://docs.google.com/spreadsheets/d/1qeGbPphFZzoFFjCwaNfx3gqE1de_ck4-q-XReds-Qjc/edit?gid=0#gid=0"",""project details!B13"")"),221235.90000000002)</f>
        <v>221235.9</v>
      </c>
      <c r="G163" s="87">
        <f>IFERROR(__xludf.DUMMYFUNCTION("IMPORTRANGE(""https://docs.google.com/spreadsheets/d/1qeGbPphFZzoFFjCwaNfx3gqE1de_ck4-q-XReds-Qjc/edit?gid=0#gid=0"",""project details!D12"")"),0.1)</f>
        <v>0.1</v>
      </c>
      <c r="H163" s="87">
        <f>IFERROR(__xludf.DUMMYFUNCTION("IMPORTRANGE(""https://docs.google.com/spreadsheets/d/1qeGbPphFZzoFFjCwaNfx3gqE1de_ck4-q-XReds-Qjc/edit?gid=0#gid=0"",""project details!D13"")"),0.29766380952380944)</f>
        <v>0.2976638095</v>
      </c>
      <c r="I163" s="85">
        <v>2025.0</v>
      </c>
      <c r="J163" s="83">
        <f t="shared" si="13"/>
        <v>93764.1</v>
      </c>
    </row>
    <row r="164">
      <c r="A164" s="80">
        <f>IFERROR(__xludf.DUMMYFUNCTION("""COMPUTED_VALUE"""),163.0)</f>
        <v>163</v>
      </c>
      <c r="B164" s="109" t="str">
        <f>IFERROR(__xludf.DUMMYFUNCTION("""COMPUTED_VALUE"""),"Mr Venkateshperumal")</f>
        <v>Mr Venkateshperumal</v>
      </c>
      <c r="C164" s="89">
        <f>IFERROR(__xludf.DUMMYFUNCTION("""COMPUTED_VALUE"""),3.3)</f>
        <v>3.3</v>
      </c>
      <c r="D164" s="82" t="str">
        <f>IFERROR(__xludf.DUMMYFUNCTION("""COMPUTED_VALUE"""),"Completed")</f>
        <v>Completed</v>
      </c>
      <c r="E164" s="86">
        <f>IFERROR(__xludf.DUMMYFUNCTION("IMPORTRANGE(""https://docs.google.com/spreadsheets/d/1QQXyRje50qkxXR1FB59kxOtUKHG5oZhRumMeAI-aRd0/edit?gid=0#gid=0"",""Project details!B12"")"),211185.0)</f>
        <v>211185</v>
      </c>
      <c r="F164" s="86">
        <f>IFERROR(__xludf.DUMMYFUNCTION("IMPORTRANGE(""https://docs.google.com/spreadsheets/d/1QQXyRje50qkxXR1FB59kxOtUKHG5oZhRumMeAI-aRd0/edit?gid=0#gid=0"",""Project details!B13"")"),165575.16)</f>
        <v>165575.16</v>
      </c>
      <c r="G164" s="87">
        <f>IFERROR(__xludf.DUMMYFUNCTION("IMPORTRANGE(""https://docs.google.com/spreadsheets/d/1QQXyRje50qkxXR1FB59kxOtUKHG5oZhRumMeAI-aRd0/edit?gid=0#gid=0"",""Project details!D12"")"),0.1)</f>
        <v>0.1</v>
      </c>
      <c r="H164" s="87">
        <f>IFERROR(__xludf.DUMMYFUNCTION("IMPORTRANGE(""https://docs.google.com/spreadsheets/d/1QQXyRje50qkxXR1FB59kxOtUKHG5oZhRumMeAI-aRd0/edit?gid=0#gid=0"",""Project details!D13"")"),0.21597102066908158)</f>
        <v>0.2159710207</v>
      </c>
      <c r="I164" s="85">
        <v>2025.0</v>
      </c>
      <c r="J164" s="83">
        <f t="shared" si="13"/>
        <v>45609.84</v>
      </c>
    </row>
    <row r="165">
      <c r="A165" s="88">
        <f>IFERROR(__xludf.DUMMYFUNCTION("""COMPUTED_VALUE"""),164.0)</f>
        <v>164</v>
      </c>
      <c r="B165" s="109" t="str">
        <f>IFERROR(__xludf.DUMMYFUNCTION("""COMPUTED_VALUE"""),"Mr. Ramesh Babu")</f>
        <v>Mr. Ramesh Babu</v>
      </c>
      <c r="C165" s="89">
        <f>IFERROR(__xludf.DUMMYFUNCTION("""COMPUTED_VALUE"""),3.3)</f>
        <v>3.3</v>
      </c>
      <c r="D165" s="82" t="str">
        <f>IFERROR(__xludf.DUMMYFUNCTION("""COMPUTED_VALUE"""),"Completed")</f>
        <v>Completed</v>
      </c>
      <c r="E165" s="86">
        <f>IFERROR(__xludf.DUMMYFUNCTION("IMPORTRANGE(""https://docs.google.com/spreadsheets/d/1bIZanu1Eaud77sfd2zUXU8dJ7zoIh8KxG48AaG6OBww/edit?gid=0#gid=0"",""project details!B12"")"),190000.0)</f>
        <v>190000</v>
      </c>
      <c r="F165" s="86">
        <f>IFERROR(__xludf.DUMMYFUNCTION("IMPORTRANGE(""https://docs.google.com/spreadsheets/d/1bIZanu1Eaud77sfd2zUXU8dJ7zoIh8KxG48AaG6OBww/edit?gid=0#gid=0"",""project details!B13"")"),157642.97999999998)</f>
        <v>157642.98</v>
      </c>
      <c r="G165" s="87">
        <f>IFERROR(__xludf.DUMMYFUNCTION("IMPORTRANGE(""https://docs.google.com/spreadsheets/d/1bIZanu1Eaud77sfd2zUXU8dJ7zoIh8KxG48AaG6OBww/edit?gid=0#gid=0"",""project details!D12"")"),0.1)</f>
        <v>0.1</v>
      </c>
      <c r="H165" s="87">
        <f>IFERROR(__xludf.DUMMYFUNCTION("IMPORTRANGE(""https://docs.google.com/spreadsheets/d/1bIZanu1Eaud77sfd2zUXU8dJ7zoIh8KxG48AaG6OBww/edit?gid=0#gid=0"",""project details!D13"")"),0.170300105263158)</f>
        <v>0.1703001053</v>
      </c>
      <c r="I165" s="85">
        <v>2025.0</v>
      </c>
      <c r="J165" s="83">
        <f t="shared" si="13"/>
        <v>32357.02</v>
      </c>
    </row>
    <row r="166">
      <c r="A166" s="88">
        <f>IFERROR(__xludf.DUMMYFUNCTION("""COMPUTED_VALUE"""),165.0)</f>
        <v>165</v>
      </c>
      <c r="B166" s="109" t="str">
        <f>IFERROR(__xludf.DUMMYFUNCTION("""COMPUTED_VALUE"""),"DRA Optima")</f>
        <v>DRA Optima</v>
      </c>
      <c r="C166" s="89">
        <f>IFERROR(__xludf.DUMMYFUNCTION("""COMPUTED_VALUE"""),40.0)</f>
        <v>40</v>
      </c>
      <c r="D166" s="82" t="str">
        <f>IFERROR(__xludf.DUMMYFUNCTION("""COMPUTED_VALUE"""),"Completed")</f>
        <v>Completed</v>
      </c>
      <c r="E166" s="86">
        <f>IFERROR(__xludf.DUMMYFUNCTION("IMPORTRANGE(""https://docs.google.com/spreadsheets/d/1x87UyNkjPsfl_v39aMPrL-5aMOfPB_1XWeX_fJZcnAk/edit?gid=0#gid=0"",""Project details!B12"")"),1655226.0)</f>
        <v>1655226</v>
      </c>
      <c r="F166" s="86">
        <f>IFERROR(__xludf.DUMMYFUNCTION("IMPORTRANGE(""https://docs.google.com/spreadsheets/d/1x87UyNkjPsfl_v39aMPrL-5aMOfPB_1XWeX_fJZcnAk/edit?gid=0#gid=0"",""Project details!B13"")"),1248145.54)</f>
        <v>1248145.54</v>
      </c>
      <c r="G166" s="87">
        <f>IFERROR(__xludf.DUMMYFUNCTION("IMPORTRANGE(""https://docs.google.com/spreadsheets/d/1x87UyNkjPsfl_v39aMPrL-5aMOfPB_1XWeX_fJZcnAk/edit?gid=0#gid=0"",""Project details!D12"")"),0.15)</f>
        <v>0.15</v>
      </c>
      <c r="H166" s="87">
        <f>IFERROR(__xludf.DUMMYFUNCTION("IMPORTRANGE(""https://docs.google.com/spreadsheets/d/1x87UyNkjPsfl_v39aMPrL-5aMOfPB_1XWeX_fJZcnAk/edit?gid=0#gid=0"",""Project details!D13"")"),0.24593648238971594)</f>
        <v>0.2459364824</v>
      </c>
      <c r="I166" s="85">
        <v>2025.0</v>
      </c>
      <c r="J166" s="83">
        <f t="shared" si="13"/>
        <v>407080.46</v>
      </c>
    </row>
    <row r="167">
      <c r="A167" s="80">
        <f>IFERROR(__xludf.DUMMYFUNCTION("""COMPUTED_VALUE"""),166.0)</f>
        <v>166</v>
      </c>
      <c r="B167" s="109" t="str">
        <f>IFERROR(__xludf.DUMMYFUNCTION("""COMPUTED_VALUE"""),"Mr Sanjay")</f>
        <v>Mr Sanjay</v>
      </c>
      <c r="C167" s="89">
        <f>IFERROR(__xludf.DUMMYFUNCTION("""COMPUTED_VALUE"""),9.9)</f>
        <v>9.9</v>
      </c>
      <c r="D167" s="82" t="str">
        <f>IFERROR(__xludf.DUMMYFUNCTION("""COMPUTED_VALUE"""),"Completed")</f>
        <v>Completed</v>
      </c>
      <c r="E167" s="86">
        <f>IFERROR(__xludf.DUMMYFUNCTION("IMPORTRANGE(""https://docs.google.com/spreadsheets/d/1j9gxasF9B68-p587SpW9CyEUT5_r2QRxbAeh0dD7K7g/edit?gid=0#gid=0"",""Project details!B12"")"),585000.0)</f>
        <v>585000</v>
      </c>
      <c r="F167" s="86">
        <f>IFERROR(__xludf.DUMMYFUNCTION("IMPORTRANGE(""https://docs.google.com/spreadsheets/d/1j9gxasF9B68-p587SpW9CyEUT5_r2QRxbAeh0dD7K7g/edit?gid=0#gid=0"",""Project details!B13"")"),515082.81999999995)</f>
        <v>515082.82</v>
      </c>
      <c r="G167" s="87">
        <f>IFERROR(__xludf.DUMMYFUNCTION("IMPORTRANGE(""https://docs.google.com/spreadsheets/d/1j9gxasF9B68-p587SpW9CyEUT5_r2QRxbAeh0dD7K7g/edit?gid=0#gid=0"",""Project details!D12"")"),0.15)</f>
        <v>0.15</v>
      </c>
      <c r="H167" s="87">
        <f>IFERROR(__xludf.DUMMYFUNCTION("IMPORTRANGE(""https://docs.google.com/spreadsheets/d/1j9gxasF9B68-p587SpW9CyEUT5_r2QRxbAeh0dD7K7g/edit?gid=0#gid=0"",""Project details!D13"")"),0.1195165470085471)</f>
        <v>0.119516547</v>
      </c>
      <c r="I167" s="85">
        <v>2025.0</v>
      </c>
      <c r="J167" s="83">
        <f t="shared" si="13"/>
        <v>69917.18</v>
      </c>
    </row>
    <row r="168">
      <c r="A168" s="80">
        <f>IFERROR(__xludf.DUMMYFUNCTION("""COMPUTED_VALUE"""),167.0)</f>
        <v>167</v>
      </c>
      <c r="B168" s="109" t="str">
        <f>IFERROR(__xludf.DUMMYFUNCTION("""COMPUTED_VALUE"""),"Mr Ginu Mathew")</f>
        <v>Mr Ginu Mathew</v>
      </c>
      <c r="C168" s="89">
        <f>IFERROR(__xludf.DUMMYFUNCTION("""COMPUTED_VALUE"""),3.3)</f>
        <v>3.3</v>
      </c>
      <c r="D168" s="82" t="str">
        <f>IFERROR(__xludf.DUMMYFUNCTION("""COMPUTED_VALUE"""),"Completed")</f>
        <v>Completed</v>
      </c>
      <c r="E168" s="86">
        <f>IFERROR(__xludf.DUMMYFUNCTION("IMPORTRANGE(""https://docs.google.com/spreadsheets/d/1E4w2aUXH5GTHAnpeYuh2rcTiznqkyskqmU7wdlqSba8/edit?gid=0#gid=0"",""Project details!B12"")"),190000.0)</f>
        <v>190000</v>
      </c>
      <c r="F168" s="86">
        <f>IFERROR(__xludf.DUMMYFUNCTION("IMPORTRANGE(""https://docs.google.com/spreadsheets/d/1E4w2aUXH5GTHAnpeYuh2rcTiznqkyskqmU7wdlqSba8/edit?gid=0#gid=0"",""Project details!B13"")"),164949.6)</f>
        <v>164949.6</v>
      </c>
      <c r="G168" s="87">
        <f>IFERROR(__xludf.DUMMYFUNCTION("IMPORTRANGE(""https://docs.google.com/spreadsheets/d/1E4w2aUXH5GTHAnpeYuh2rcTiznqkyskqmU7wdlqSba8/edit?gid=0#gid=0"",""Project details!D12"")"),0.1)</f>
        <v>0.1</v>
      </c>
      <c r="H168" s="87">
        <f>IFERROR(__xludf.DUMMYFUNCTION("IMPORTRANGE(""https://docs.google.com/spreadsheets/d/1E4w2aUXH5GTHAnpeYuh2rcTiznqkyskqmU7wdlqSba8/edit?gid=0#gid=0"",""Project details!D13"")"),0.13184421052631576)</f>
        <v>0.1318442105</v>
      </c>
      <c r="I168" s="85">
        <v>2025.0</v>
      </c>
      <c r="J168" s="83">
        <f t="shared" si="13"/>
        <v>25050.4</v>
      </c>
    </row>
    <row r="169">
      <c r="A169" s="88">
        <f>IFERROR(__xludf.DUMMYFUNCTION("""COMPUTED_VALUE"""),168.0)</f>
        <v>168</v>
      </c>
      <c r="B169" s="109" t="str">
        <f>IFERROR(__xludf.DUMMYFUNCTION("""COMPUTED_VALUE"""),"Dr Ramesh")</f>
        <v>Dr Ramesh</v>
      </c>
      <c r="C169" s="89">
        <f>IFERROR(__xludf.DUMMYFUNCTION("""COMPUTED_VALUE"""),5.0)</f>
        <v>5</v>
      </c>
      <c r="D169" s="82" t="str">
        <f>IFERROR(__xludf.DUMMYFUNCTION("""COMPUTED_VALUE"""),"Completed")</f>
        <v>Completed</v>
      </c>
      <c r="E169" s="86">
        <f>IFERROR(__xludf.DUMMYFUNCTION("IMPORTRANGE(""https://docs.google.com/spreadsheets/d/1GqMZ2hbROrDFecNQiRIPGKnIxsPCYju4PQ-nXInLgRk/edit?gid=0#gid=0"",""project details!B12"")"),324000.0)</f>
        <v>324000</v>
      </c>
      <c r="F169" s="86">
        <f>IFERROR(__xludf.DUMMYFUNCTION("IMPORTRANGE(""https://docs.google.com/spreadsheets/d/1GqMZ2hbROrDFecNQiRIPGKnIxsPCYju4PQ-nXInLgRk/edit?gid=0#gid=0"",""project details!B13"")"),268951.20000000007)</f>
        <v>268951.2</v>
      </c>
      <c r="G169" s="87">
        <f>IFERROR(__xludf.DUMMYFUNCTION("IMPORTRANGE(""https://docs.google.com/spreadsheets/d/1GqMZ2hbROrDFecNQiRIPGKnIxsPCYju4PQ-nXInLgRk/edit?gid=0#gid=0"",""project details!D12"")"),0.1)</f>
        <v>0.1</v>
      </c>
      <c r="H169" s="87">
        <f>IFERROR(__xludf.DUMMYFUNCTION("IMPORTRANGE(""https://docs.google.com/spreadsheets/d/1GqMZ2hbROrDFecNQiRIPGKnIxsPCYju4PQ-nXInLgRk/edit?gid=0#gid=0"",""project details!D13"")"),0.1699037037037035)</f>
        <v>0.1699037037</v>
      </c>
      <c r="I169" s="85">
        <v>2025.0</v>
      </c>
      <c r="J169" s="83">
        <f t="shared" si="13"/>
        <v>55048.8</v>
      </c>
    </row>
    <row r="170">
      <c r="A170" s="88">
        <f>IFERROR(__xludf.DUMMYFUNCTION("""COMPUTED_VALUE"""),169.0)</f>
        <v>169</v>
      </c>
      <c r="B170" s="109" t="str">
        <f>IFERROR(__xludf.DUMMYFUNCTION("""COMPUTED_VALUE"""),"Ranamaniyam Saranagati")</f>
        <v>Ranamaniyam Saranagati</v>
      </c>
      <c r="C170" s="89">
        <f>IFERROR(__xludf.DUMMYFUNCTION("""COMPUTED_VALUE"""),3.3)</f>
        <v>3.3</v>
      </c>
      <c r="D170" s="82" t="str">
        <f>IFERROR(__xludf.DUMMYFUNCTION("""COMPUTED_VALUE"""),"Completed")</f>
        <v>Completed</v>
      </c>
      <c r="E170" s="86">
        <f>IFERROR(__xludf.DUMMYFUNCTION("IMPORTRANGE(""https://docs.google.com/spreadsheets/d/10eBIvAmpiIxgCxmBTGjDHRFCbE-X7RdfffnigTld-x4/edit?gid=0#gid=0"",""Project details!B12"")"),184339.0)</f>
        <v>184339</v>
      </c>
      <c r="F170" s="86">
        <f>IFERROR(__xludf.DUMMYFUNCTION("IMPORTRANGE(""https://docs.google.com/spreadsheets/d/10eBIvAmpiIxgCxmBTGjDHRFCbE-X7RdfffnigTld-x4/edit?gid=0#gid=0"",""Project details!B13"")"),111923.52)</f>
        <v>111923.52</v>
      </c>
      <c r="G170" s="87">
        <f>IFERROR(__xludf.DUMMYFUNCTION("IMPORTRANGE(""https://docs.google.com/spreadsheets/d/10eBIvAmpiIxgCxmBTGjDHRFCbE-X7RdfffnigTld-x4/edit?gid=0#gid=0"",""Project details!D12"")"),0.1)</f>
        <v>0.1</v>
      </c>
      <c r="H170" s="87">
        <f>IFERROR(__xludf.DUMMYFUNCTION("IMPORTRANGE(""https://docs.google.com/spreadsheets/d/10eBIvAmpiIxgCxmBTGjDHRFCbE-X7RdfffnigTld-x4/edit?gid=0#gid=0"",""Project details!D13"")"),0.3928386288305784)</f>
        <v>0.3928386288</v>
      </c>
      <c r="I170" s="85">
        <v>2025.0</v>
      </c>
      <c r="J170" s="83">
        <f t="shared" si="13"/>
        <v>72415.48</v>
      </c>
    </row>
    <row r="171">
      <c r="A171" s="88">
        <f>IFERROR(__xludf.DUMMYFUNCTION("""COMPUTED_VALUE"""),170.0)</f>
        <v>170</v>
      </c>
      <c r="B171" s="109" t="str">
        <f>IFERROR(__xludf.DUMMYFUNCTION("""COMPUTED_VALUE"""),"Pacifica Aurum")</f>
        <v>Pacifica Aurum</v>
      </c>
      <c r="C171" s="89">
        <f>IFERROR(__xludf.DUMMYFUNCTION("""COMPUTED_VALUE"""),3.3)</f>
        <v>3.3</v>
      </c>
      <c r="D171" s="82" t="str">
        <f>IFERROR(__xludf.DUMMYFUNCTION("""COMPUTED_VALUE"""),"Completed")</f>
        <v>Completed</v>
      </c>
      <c r="E171" s="115">
        <f>IFERROR(__xludf.DUMMYFUNCTION("IMPORTRANGE(""https://docs.google.com/spreadsheets/d/1-FlCN3rl1xFGyxIVpISFEL3bcCY4_gemaLTYHPu2txA/edit?gid=0#gid=0"",""Project details!B12"")"),202838.0)</f>
        <v>202838</v>
      </c>
      <c r="F171" s="115">
        <f>IFERROR(__xludf.DUMMYFUNCTION("IMPORTRANGE(""https://docs.google.com/spreadsheets/d/1-FlCN3rl1xFGyxIVpISFEL3bcCY4_gemaLTYHPu2txA/edit?gid=0#gid=0"",""Project details!B13"")"),141870.16)</f>
        <v>141870.16</v>
      </c>
      <c r="G171" s="116">
        <f>IFERROR(__xludf.DUMMYFUNCTION("IMPORTRANGE(""https://docs.google.com/spreadsheets/d/1-FlCN3rl1xFGyxIVpISFEL3bcCY4_gemaLTYHPu2txA/edit?gid=0#gid=0"",""Project details!D12"")"),0.1)</f>
        <v>0.1</v>
      </c>
      <c r="H171" s="116">
        <f>IFERROR(__xludf.DUMMYFUNCTION("IMPORTRANGE(""https://docs.google.com/spreadsheets/d/1-FlCN3rl1xFGyxIVpISFEL3bcCY4_gemaLTYHPu2txA/edit?gid=0#gid=0"",""Project details!D13"")"),0.3005740541713091)</f>
        <v>0.3005740542</v>
      </c>
      <c r="I171" s="118">
        <v>2025.0</v>
      </c>
      <c r="J171" s="83">
        <f t="shared" si="13"/>
        <v>60967.84</v>
      </c>
    </row>
    <row r="172">
      <c r="A172" s="88">
        <f>IFERROR(__xludf.DUMMYFUNCTION("""COMPUTED_VALUE"""),171.0)</f>
        <v>171</v>
      </c>
      <c r="B172" s="109" t="str">
        <f>IFERROR(__xludf.DUMMYFUNCTION("""COMPUTED_VALUE"""),"Mr Prabakaran")</f>
        <v>Mr Prabakaran</v>
      </c>
      <c r="C172" s="89">
        <f>IFERROR(__xludf.DUMMYFUNCTION("""COMPUTED_VALUE"""),3.3)</f>
        <v>3.3</v>
      </c>
      <c r="D172" s="119" t="str">
        <f>IFERROR(__xludf.DUMMYFUNCTION("""COMPUTED_VALUE"""),"Completed")</f>
        <v>Completed</v>
      </c>
      <c r="E172" s="115">
        <f>IFERROR(__xludf.DUMMYFUNCTION("IMPORTRANGE(""https://docs.google.com/spreadsheets/d/1Xh0D-zeH5aZIN3X8PrwkVfCOUNATt5WDc2QIKsMk7iA/edit?gid=0#gid=0"",""Project details!B12"")"),195000.0)</f>
        <v>195000</v>
      </c>
      <c r="F172" s="115">
        <f>IFERROR(__xludf.DUMMYFUNCTION("IMPORTRANGE(""https://docs.google.com/spreadsheets/d/1Xh0D-zeH5aZIN3X8PrwkVfCOUNATt5WDc2QIKsMk7iA/edit?gid=0#gid=0"",""Project details!B13"")"),180075.01999999996)</f>
        <v>180075.02</v>
      </c>
      <c r="G172" s="116">
        <f>IFERROR(__xludf.DUMMYFUNCTION("IMPORTRANGE(""https://docs.google.com/spreadsheets/d/1Xh0D-zeH5aZIN3X8PrwkVfCOUNATt5WDc2QIKsMk7iA/edit?gid=0#gid=0"",""Project details!D12"")"),0.1)</f>
        <v>0.1</v>
      </c>
      <c r="H172" s="116">
        <f>IFERROR(__xludf.DUMMYFUNCTION("IMPORTRANGE(""https://docs.google.com/spreadsheets/d/1Xh0D-zeH5aZIN3X8PrwkVfCOUNATt5WDc2QIKsMk7iA/edit?gid=0#gid=0"",""Project details!D13"")"),0.07653835897435918)</f>
        <v>0.07653835897</v>
      </c>
      <c r="I172" s="118">
        <v>2025.0</v>
      </c>
      <c r="J172" s="115">
        <f t="shared" ref="J172:J176" si="14">E172-F172</f>
        <v>14924.98</v>
      </c>
    </row>
    <row r="173">
      <c r="A173" s="88">
        <f>IFERROR(__xludf.DUMMYFUNCTION("""COMPUTED_VALUE"""),172.0)</f>
        <v>172</v>
      </c>
      <c r="B173" s="109" t="str">
        <f>IFERROR(__xludf.DUMMYFUNCTION("""COMPUTED_VALUE"""),"RCC e Constrcution 2")</f>
        <v>RCC e Constrcution 2</v>
      </c>
      <c r="C173" s="89">
        <f>IFERROR(__xludf.DUMMYFUNCTION("""COMPUTED_VALUE"""),20.0)</f>
        <v>20</v>
      </c>
      <c r="D173" s="119" t="str">
        <f>IFERROR(__xludf.DUMMYFUNCTION("""COMPUTED_VALUE"""),"Meter Client Scope")</f>
        <v>Meter Client Scope</v>
      </c>
      <c r="E173" s="115">
        <f>IFERROR(__xludf.DUMMYFUNCTION("IMPORTRANGE(""https://docs.google.com/spreadsheets/d/1_3Z6aXyvAK-1UO9fwUn2pREb9F_J6d7IX14Txduzcjg/edit?gid=0#gid=0"",""Project details!B12"")"),328398.64)</f>
        <v>328398.64</v>
      </c>
      <c r="F173" s="115">
        <f>IFERROR(__xludf.DUMMYFUNCTION("IMPORTRANGE(""https://docs.google.com/spreadsheets/d/1_3Z6aXyvAK-1UO9fwUn2pREb9F_J6d7IX14Txduzcjg/edit?gid=0#gid=0"",""Project details!B13"")"),234396.30999999994)</f>
        <v>234396.31</v>
      </c>
      <c r="G173" s="116">
        <f>IFERROR(__xludf.DUMMYFUNCTION("IMPORTRANGE(""https://docs.google.com/spreadsheets/d/1_3Z6aXyvAK-1UO9fwUn2pREb9F_J6d7IX14Txduzcjg/edit?gid=0#gid=0"",""Project details!D12"")"),0.1)</f>
        <v>0.1</v>
      </c>
      <c r="H173" s="116">
        <f>IFERROR(__xludf.DUMMYFUNCTION("IMPORTRANGE(""https://docs.google.com/spreadsheets/d/1_3Z6aXyvAK-1UO9fwUn2pREb9F_J6d7IX14Txduzcjg/edit?gid=0#gid=0"",""Project details!D13"")"),0.28624457762675287)</f>
        <v>0.2862445776</v>
      </c>
      <c r="I173" s="118">
        <v>2025.0</v>
      </c>
      <c r="J173" s="115">
        <f t="shared" si="14"/>
        <v>94002.33</v>
      </c>
    </row>
    <row r="174">
      <c r="A174" s="120">
        <f>IFERROR(__xludf.DUMMYFUNCTION("""COMPUTED_VALUE"""),173.0)</f>
        <v>173</v>
      </c>
      <c r="B174" s="109" t="str">
        <f>IFERROR(__xludf.DUMMYFUNCTION("""COMPUTED_VALUE"""),"GRN Chakarabani street")</f>
        <v>GRN Chakarabani street</v>
      </c>
      <c r="C174" s="89">
        <f>IFERROR(__xludf.DUMMYFUNCTION("""COMPUTED_VALUE"""),2.2)</f>
        <v>2.2</v>
      </c>
      <c r="D174" s="119" t="str">
        <f>IFERROR(__xludf.DUMMYFUNCTION("""COMPUTED_VALUE"""),"Completed")</f>
        <v>Completed</v>
      </c>
      <c r="E174" s="115">
        <f>IFERROR(__xludf.DUMMYFUNCTION("IMPORTRANGE(""https://docs.google.com/spreadsheets/d/1I1QDp1-1axN2S97_PpjZVFBXKk67yjppM6-3Y1-uj94/edit?gid=0#gid=0"",""Project details!B12"")"),145000.0)</f>
        <v>145000</v>
      </c>
      <c r="F174" s="115">
        <f>IFERROR(__xludf.DUMMYFUNCTION("IMPORTRANGE(""https://docs.google.com/spreadsheets/d/1I1QDp1-1axN2S97_PpjZVFBXKk67yjppM6-3Y1-uj94/edit?gid=0#gid=0"",""Project details!B13"")"),79450.38400000002)</f>
        <v>79450.384</v>
      </c>
      <c r="G174" s="116">
        <f>IFERROR(__xludf.DUMMYFUNCTION("IMPORTRANGE(""https://docs.google.com/spreadsheets/d/1I1QDp1-1axN2S97_PpjZVFBXKk67yjppM6-3Y1-uj94/edit?gid=0#gid=0"",""Project details!D12"")"),0.1)</f>
        <v>0.1</v>
      </c>
      <c r="H174" s="116">
        <f>IFERROR(__xludf.DUMMYFUNCTION("IMPORTRANGE(""https://docs.google.com/spreadsheets/d/1I1QDp1-1axN2S97_PpjZVFBXKk67yjppM6-3Y1-uj94/edit?gid=0#gid=0"",""Project details!D13"")"),0.4520663172413792)</f>
        <v>0.4520663172</v>
      </c>
      <c r="I174" s="118">
        <v>2025.0</v>
      </c>
      <c r="J174" s="115">
        <f t="shared" si="14"/>
        <v>65549.616</v>
      </c>
    </row>
    <row r="175">
      <c r="A175" s="121">
        <f>IFERROR(__xludf.DUMMYFUNCTION("""COMPUTED_VALUE"""),174.0)</f>
        <v>174</v>
      </c>
      <c r="B175" s="110" t="str">
        <f>IFERROR(__xludf.DUMMYFUNCTION("""COMPUTED_VALUE"""),"Mr Siva Elango")</f>
        <v>Mr Siva Elango</v>
      </c>
      <c r="C175" s="100">
        <f>IFERROR(__xludf.DUMMYFUNCTION("""COMPUTED_VALUE"""),5.0)</f>
        <v>5</v>
      </c>
      <c r="D175" s="122" t="str">
        <f>IFERROR(__xludf.DUMMYFUNCTION("""COMPUTED_VALUE"""),"Completed")</f>
        <v>Completed</v>
      </c>
      <c r="E175" s="123">
        <f>IFERROR(__xludf.DUMMYFUNCTION("IMPORTRANGE(""https://docs.google.com/spreadsheets/d/1bh4DXVkCBTEPYbJBLu50J3AUP7kQvLw_5we0ApxlSUw/edit?gid=0#gid=0"",""Project details!B12"")"),333000.0)</f>
        <v>333000</v>
      </c>
      <c r="F175" s="123">
        <f>IFERROR(__xludf.DUMMYFUNCTION("IMPORTRANGE(""https://docs.google.com/spreadsheets/d/1bh4DXVkCBTEPYbJBLu50J3AUP7kQvLw_5we0ApxlSUw/edit?gid=0#gid=0"",""Project details!B13"")"),271828.70000000007)</f>
        <v>271828.7</v>
      </c>
      <c r="G175" s="124">
        <f>IFERROR(__xludf.DUMMYFUNCTION("IMPORTRANGE(""https://docs.google.com/spreadsheets/d/1bh4DXVkCBTEPYbJBLu50J3AUP7kQvLw_5we0ApxlSUw/edit?gid=0#gid=0"",""Project details!D12"")"),0.1)</f>
        <v>0.1</v>
      </c>
      <c r="H175" s="124">
        <f>IFERROR(__xludf.DUMMYFUNCTION("IMPORTRANGE(""https://docs.google.com/spreadsheets/d/1bh4DXVkCBTEPYbJBLu50J3AUP7kQvLw_5we0ApxlSUw/edit?gid=0#gid=0"",""Project details!D13"")"),0.18369759759759738)</f>
        <v>0.1836975976</v>
      </c>
      <c r="I175" s="125">
        <v>2025.0</v>
      </c>
      <c r="J175" s="123">
        <f t="shared" si="14"/>
        <v>61171.3</v>
      </c>
    </row>
    <row r="176">
      <c r="A176" s="88">
        <f>IFERROR(__xludf.DUMMYFUNCTION("""COMPUTED_VALUE"""),175.0)</f>
        <v>175</v>
      </c>
      <c r="B176" s="109" t="str">
        <f>IFERROR(__xludf.DUMMYFUNCTION("""COMPUTED_VALUE"""),"Shoba Silks Pvt Ltd")</f>
        <v>Shoba Silks Pvt Ltd</v>
      </c>
      <c r="C176" s="88">
        <f>IFERROR(__xludf.DUMMYFUNCTION("""COMPUTED_VALUE"""),100.0)</f>
        <v>100</v>
      </c>
      <c r="D176" s="119" t="str">
        <f>IFERROR(__xludf.DUMMYFUNCTION("""COMPUTED_VALUE"""),"Waiting for Net Meter")</f>
        <v>Waiting for Net Meter</v>
      </c>
      <c r="E176" s="115">
        <f>IFERROR(__xludf.DUMMYFUNCTION("IMPORTRANGE(""https://docs.google.com/spreadsheets/d/1WkBHLIUUtHd5rxZ2L7Lb9PXy7saoUAFD9mE5xEfVg-Q/edit?gid=0#gid=0"",""Project details!B12"")"),3401122.0)</f>
        <v>3401122</v>
      </c>
      <c r="F176" s="115">
        <f>IFERROR(__xludf.DUMMYFUNCTION("IMPORTRANGE(""https://docs.google.com/spreadsheets/d/1WkBHLIUUtHd5rxZ2L7Lb9PXy7saoUAFD9mE5xEfVg-Q/edit?gid=0#gid=0"",""Project details!B13"")"),2784512.1199999996)</f>
        <v>2784512.12</v>
      </c>
      <c r="G176" s="116">
        <f>IFERROR(__xludf.DUMMYFUNCTION("IMPORTRANGE(""https://docs.google.com/spreadsheets/d/1WkBHLIUUtHd5rxZ2L7Lb9PXy7saoUAFD9mE5xEfVg-Q/edit?gid=0#gid=0"",""Project details!D12"")"),0.11)</f>
        <v>0.11</v>
      </c>
      <c r="H176" s="116">
        <f>IFERROR(__xludf.DUMMYFUNCTION("IMPORTRANGE(""https://docs.google.com/spreadsheets/d/1WkBHLIUUtHd5rxZ2L7Lb9PXy7saoUAFD9mE5xEfVg-Q/edit?gid=0#gid=0"",""Project details!D13"")"),0.18129601937243073)</f>
        <v>0.1812960194</v>
      </c>
      <c r="I176" s="118">
        <v>2025.0</v>
      </c>
      <c r="J176" s="115">
        <f t="shared" si="14"/>
        <v>616609.88</v>
      </c>
    </row>
    <row r="177">
      <c r="A177" s="88">
        <f>IFERROR(__xludf.DUMMYFUNCTION("""COMPUTED_VALUE"""),176.0)</f>
        <v>176</v>
      </c>
      <c r="B177" s="109" t="str">
        <f>IFERROR(__xludf.DUMMYFUNCTION("""COMPUTED_VALUE"""),"Green Crest")</f>
        <v>Green Crest</v>
      </c>
      <c r="C177" s="88">
        <f>IFERROR(__xludf.DUMMYFUNCTION("""COMPUTED_VALUE"""),9.7)</f>
        <v>9.7</v>
      </c>
      <c r="D177" s="119" t="str">
        <f>IFERROR(__xludf.DUMMYFUNCTION("""COMPUTED_VALUE"""),"Completed")</f>
        <v>Completed</v>
      </c>
      <c r="E177" s="115">
        <f>IFERROR(__xludf.DUMMYFUNCTION("IMPORTRANGE(""https://docs.google.com/spreadsheets/d/1s3BXdrATaGwgrCoOnoFFO6jy4xBKEa5WiGhVCJmGsVQ/edit?gid=0#gid=0"",""Project details!B12"")"),387000.0)</f>
        <v>387000</v>
      </c>
      <c r="F177" s="115">
        <f>IFERROR(__xludf.DUMMYFUNCTION("IMPORTRANGE(""https://docs.google.com/spreadsheets/d/1s3BXdrATaGwgrCoOnoFFO6jy4xBKEa5WiGhVCJmGsVQ/edit?gid=0#gid=0"",""Project details!B13"")"),297131.01999999996)</f>
        <v>297131.02</v>
      </c>
      <c r="G177" s="116">
        <f>IFERROR(__xludf.DUMMYFUNCTION("IMPORTRANGE(""https://docs.google.com/spreadsheets/d/1s3BXdrATaGwgrCoOnoFFO6jy4xBKEa5WiGhVCJmGsVQ/edit?gid=0#gid=0"",""Project details!D12"")"),0.1)</f>
        <v>0.1</v>
      </c>
      <c r="H177" s="116">
        <f>IFERROR(__xludf.DUMMYFUNCTION("IMPORTRANGE(""https://docs.google.com/spreadsheets/d/1s3BXdrATaGwgrCoOnoFFO6jy4xBKEa5WiGhVCJmGsVQ/edit?gid=0#gid=0"",""Project details!D13"")"),0.2322195865633076)</f>
        <v>0.2322195866</v>
      </c>
      <c r="I177" s="118">
        <v>2025.0</v>
      </c>
      <c r="J177" s="115">
        <f>(E177-F177)</f>
        <v>89868.98</v>
      </c>
    </row>
    <row r="178">
      <c r="A178" s="120">
        <f>IFERROR(__xludf.DUMMYFUNCTION("""COMPUTED_VALUE"""),177.0)</f>
        <v>177</v>
      </c>
      <c r="B178" s="109" t="str">
        <f>IFERROR(__xludf.DUMMYFUNCTION("""COMPUTED_VALUE"""),"Mr Shanmugam")</f>
        <v>Mr Shanmugam</v>
      </c>
      <c r="C178" s="88">
        <f>IFERROR(__xludf.DUMMYFUNCTION("""COMPUTED_VALUE"""),5.5)</f>
        <v>5.5</v>
      </c>
      <c r="D178" s="119" t="str">
        <f>IFERROR(__xludf.DUMMYFUNCTION("""COMPUTED_VALUE"""),"Completed")</f>
        <v>Completed</v>
      </c>
      <c r="E178" s="115">
        <f>IFERROR(__xludf.DUMMYFUNCTION("IMPORTRANGE(""https://docs.google.com/spreadsheets/d/1zEcN_SIrg94Ulv7Cz-ZBuR6e9FzmWlLAQ8DRXaYM-9E/edit?gid=0#gid=0"",""Project details!B12"")"),300000.0)</f>
        <v>300000</v>
      </c>
      <c r="F178" s="115">
        <f>IFERROR(__xludf.DUMMYFUNCTION("IMPORTRANGE(""https://docs.google.com/spreadsheets/d/1zEcN_SIrg94Ulv7Cz-ZBuR6e9FzmWlLAQ8DRXaYM-9E/edit?gid=0#gid=0"",""Project details!B13"")"),195156.84000000003)</f>
        <v>195156.84</v>
      </c>
      <c r="G178" s="116">
        <f>IFERROR(__xludf.DUMMYFUNCTION("IMPORTRANGE(""https://docs.google.com/spreadsheets/d/1zEcN_SIrg94Ulv7Cz-ZBuR6e9FzmWlLAQ8DRXaYM-9E/edit?gid=0#gid=0"",""Project details!D12"")"),0.15)</f>
        <v>0.15</v>
      </c>
      <c r="H178" s="116">
        <f>IFERROR(__xludf.DUMMYFUNCTION("IMPORTRANGE(""https://docs.google.com/spreadsheets/d/1zEcN_SIrg94Ulv7Cz-ZBuR6e9FzmWlLAQ8DRXaYM-9E/edit?gid=0#gid=0"",""Project details!D13"")"),0.34947719999999993)</f>
        <v>0.3494772</v>
      </c>
      <c r="I178" s="118">
        <v>2025.0</v>
      </c>
      <c r="J178" s="115">
        <f t="shared" ref="J178:J181" si="15">E178-F178</f>
        <v>104843.16</v>
      </c>
    </row>
    <row r="179">
      <c r="A179" s="120">
        <f>IFERROR(__xludf.DUMMYFUNCTION("""COMPUTED_VALUE"""),178.0)</f>
        <v>178</v>
      </c>
      <c r="B179" s="109" t="str">
        <f>IFERROR(__xludf.DUMMYFUNCTION("""COMPUTED_VALUE"""),"Krishnaveni")</f>
        <v>Krishnaveni</v>
      </c>
      <c r="C179" s="88">
        <f>IFERROR(__xludf.DUMMYFUNCTION("""COMPUTED_VALUE"""),9.3)</f>
        <v>9.3</v>
      </c>
      <c r="D179" s="119" t="str">
        <f>IFERROR(__xludf.DUMMYFUNCTION("""COMPUTED_VALUE"""),"Completed")</f>
        <v>Completed</v>
      </c>
      <c r="E179" s="115">
        <f>IFERROR(__xludf.DUMMYFUNCTION("IMPORTRANGE(""https://docs.google.com/spreadsheets/d/1KZQGv35fF92grWoS1I7iuWkttXWIc6UqDKeZo2id9hA/edit?gid=0#gid=0"",""Project details!B12"")"),483562.0)</f>
        <v>483562</v>
      </c>
      <c r="F179" s="115">
        <f>IFERROR(__xludf.DUMMYFUNCTION("IMPORTRANGE(""https://docs.google.com/spreadsheets/d/1KZQGv35fF92grWoS1I7iuWkttXWIc6UqDKeZo2id9hA/edit?gid=0#gid=0"",""Project details!B13"")"),351484.7860000001)</f>
        <v>351484.786</v>
      </c>
      <c r="G179" s="116">
        <f>IFERROR(__xludf.DUMMYFUNCTION("IMPORTRANGE(""https://docs.google.com/spreadsheets/d/1KZQGv35fF92grWoS1I7iuWkttXWIc6UqDKeZo2id9hA/edit?gid=0#gid=0"",""Project details!D12"")"),0.1)</f>
        <v>0.1</v>
      </c>
      <c r="H179" s="116">
        <f>IFERROR(__xludf.DUMMYFUNCTION("IMPORTRANGE(""https://docs.google.com/spreadsheets/d/1KZQGv35fF92grWoS1I7iuWkttXWIc6UqDKeZo2id9hA/edit?gid=0#gid=0"",""Project details!D13"")"),0.2731339807511755)</f>
        <v>0.2731339808</v>
      </c>
      <c r="I179" s="118">
        <v>2025.0</v>
      </c>
      <c r="J179" s="115">
        <f t="shared" si="15"/>
        <v>132077.214</v>
      </c>
    </row>
    <row r="180">
      <c r="A180" s="88">
        <f>IFERROR(__xludf.DUMMYFUNCTION("""COMPUTED_VALUE"""),179.0)</f>
        <v>179</v>
      </c>
      <c r="B180" s="109" t="str">
        <f>IFERROR(__xludf.DUMMYFUNCTION("""COMPUTED_VALUE"""),"Jyothiswari")</f>
        <v>Jyothiswari</v>
      </c>
      <c r="C180" s="88">
        <f>IFERROR(__xludf.DUMMYFUNCTION("""COMPUTED_VALUE"""),2.2)</f>
        <v>2.2</v>
      </c>
      <c r="D180" s="119" t="str">
        <f>IFERROR(__xludf.DUMMYFUNCTION("""COMPUTED_VALUE"""),"Completed")</f>
        <v>Completed</v>
      </c>
      <c r="E180" s="115">
        <f>IFERROR(__xludf.DUMMYFUNCTION("IMPORTRANGE(""https://docs.google.com/spreadsheets/d/1e2aX0D8N4gUD2f2FB3vBbr7IwxVTIx9zaqDSGh_dBjk/edit?gid=0#gid=0"",""Project details!B12"")"),167790.0)</f>
        <v>167790</v>
      </c>
      <c r="F180" s="115">
        <f>IFERROR(__xludf.DUMMYFUNCTION("IMPORTRANGE(""https://docs.google.com/spreadsheets/d/1e2aX0D8N4gUD2f2FB3vBbr7IwxVTIx9zaqDSGh_dBjk/edit?gid=0#gid=0"",""Project details!B13"")"),125936.224)</f>
        <v>125936.224</v>
      </c>
      <c r="G180" s="116">
        <f>IFERROR(__xludf.DUMMYFUNCTION("IMPORTRANGE(""https://docs.google.com/spreadsheets/d/1e2aX0D8N4gUD2f2FB3vBbr7IwxVTIx9zaqDSGh_dBjk/edit?gid=0#gid=0"",""Project details!D12"")"),0.1)</f>
        <v>0.1</v>
      </c>
      <c r="H180" s="116">
        <f>IFERROR(__xludf.DUMMYFUNCTION("IMPORTRANGE(""https://docs.google.com/spreadsheets/d/1e2aX0D8N4gUD2f2FB3vBbr7IwxVTIx9zaqDSGh_dBjk/edit?gid=0#gid=0"",""Project details!D13"")"),0.2494414208236486)</f>
        <v>0.2494414208</v>
      </c>
      <c r="I180" s="118">
        <v>2025.0</v>
      </c>
      <c r="J180" s="115">
        <f t="shared" si="15"/>
        <v>41853.776</v>
      </c>
    </row>
    <row r="181">
      <c r="A181" s="100">
        <f>IFERROR(__xludf.DUMMYFUNCTION("""COMPUTED_VALUE"""),180.0)</f>
        <v>180</v>
      </c>
      <c r="B181" s="110" t="str">
        <f>IFERROR(__xludf.DUMMYFUNCTION("""COMPUTED_VALUE"""),"Mr Sivasankar")</f>
        <v>Mr Sivasankar</v>
      </c>
      <c r="C181" s="100">
        <f>IFERROR(__xludf.DUMMYFUNCTION("""COMPUTED_VALUE"""),2.2)</f>
        <v>2.2</v>
      </c>
      <c r="D181" s="122" t="str">
        <f>IFERROR(__xludf.DUMMYFUNCTION("""COMPUTED_VALUE"""),"Completed")</f>
        <v>Completed</v>
      </c>
      <c r="E181" s="123">
        <f>IFERROR(__xludf.DUMMYFUNCTION("IMPORTRANGE(""https://docs.google.com/spreadsheets/d/1kUqwf1NcR1VYR2sqnQalFxUBeHh5ajlmG6XytLv7Kz0/edit?gid=0#gid=0"",""Project details!B12"")"),168000.0)</f>
        <v>168000</v>
      </c>
      <c r="F181" s="123">
        <f>IFERROR(__xludf.DUMMYFUNCTION("IMPORTRANGE(""https://docs.google.com/spreadsheets/d/1kUqwf1NcR1VYR2sqnQalFxUBeHh5ajlmG6XytLv7Kz0/edit?gid=0#gid=0"",""Project details!B13"")"),117715.86000000004)</f>
        <v>117715.86</v>
      </c>
      <c r="G181" s="124">
        <f>IFERROR(__xludf.DUMMYFUNCTION("IMPORTRANGE(""https://docs.google.com/spreadsheets/d/1kUqwf1NcR1VYR2sqnQalFxUBeHh5ajlmG6XytLv7Kz0/edit?gid=0#gid=0"",""Project details!D12"")"),0.1)</f>
        <v>0.1</v>
      </c>
      <c r="H181" s="124">
        <f>IFERROR(__xludf.DUMMYFUNCTION("IMPORTRANGE(""https://docs.google.com/spreadsheets/d/1kUqwf1NcR1VYR2sqnQalFxUBeHh5ajlmG6XytLv7Kz0/edit?gid=0#gid=0"",""Project details!D13"")"),0.29931035714285686)</f>
        <v>0.2993103571</v>
      </c>
      <c r="I181" s="125">
        <v>2025.0</v>
      </c>
      <c r="J181" s="123">
        <f t="shared" si="15"/>
        <v>50284.14</v>
      </c>
    </row>
    <row r="182">
      <c r="A182" s="88">
        <f>IFERROR(__xludf.DUMMYFUNCTION("""COMPUTED_VALUE"""),181.0)</f>
        <v>181</v>
      </c>
      <c r="B182" s="109" t="str">
        <f>IFERROR(__xludf.DUMMYFUNCTION("""COMPUTED_VALUE"""),"Lancor Lumina ABC")</f>
        <v>Lancor Lumina ABC</v>
      </c>
      <c r="C182" s="88">
        <f>IFERROR(__xludf.DUMMYFUNCTION("""COMPUTED_VALUE"""),20.5)</f>
        <v>20.5</v>
      </c>
      <c r="D182" s="119" t="str">
        <f>IFERROR(__xludf.DUMMYFUNCTION("""COMPUTED_VALUE"""),"Holding from client")</f>
        <v>Holding from client</v>
      </c>
      <c r="E182" s="115">
        <f>IFERROR(__xludf.DUMMYFUNCTION("IMPORTRANGE(""https://docs.google.com/spreadsheets/d/1f99Ac1yMmswayKIjhPGqiV3l-mGKeBcFP7Z1WyJoev4/edit?gid=0#gid=0"",""Project details!B12"")"),782406.0)</f>
        <v>782406</v>
      </c>
      <c r="F182" s="115">
        <f>IFERROR(__xludf.DUMMYFUNCTION("IMPORTRANGE(""https://docs.google.com/spreadsheets/d/1f99Ac1yMmswayKIjhPGqiV3l-mGKeBcFP7Z1WyJoev4/edit?gid=0#gid=0"",""Project details!B13"")"),671686.7000000002)</f>
        <v>671686.7</v>
      </c>
      <c r="G182" s="116">
        <f>IFERROR(__xludf.DUMMYFUNCTION("IMPORTRANGE(""https://docs.google.com/spreadsheets/d/1f99Ac1yMmswayKIjhPGqiV3l-mGKeBcFP7Z1WyJoev4/edit?gid=0#gid=0"",""Project details!D12"")"),0.15)</f>
        <v>0.15</v>
      </c>
      <c r="H182" s="116">
        <f>IFERROR(__xludf.DUMMYFUNCTION("IMPORTRANGE(""https://docs.google.com/spreadsheets/d/1f99Ac1yMmswayKIjhPGqiV3l-mGKeBcFP7Z1WyJoev4/edit?gid=0#gid=0"",""Project details!D13"")"),0.141511312541059)</f>
        <v>0.1415113125</v>
      </c>
      <c r="I182" s="118">
        <v>2025.0</v>
      </c>
      <c r="J182" s="115">
        <f>(E182-F182)</f>
        <v>110719.3</v>
      </c>
    </row>
    <row r="183">
      <c r="A183" s="88">
        <f>IFERROR(__xludf.DUMMYFUNCTION("""COMPUTED_VALUE"""),182.0)</f>
        <v>182</v>
      </c>
      <c r="B183" s="109" t="str">
        <f>IFERROR(__xludf.DUMMYFUNCTION("""COMPUTED_VALUE"""),"Sri krishna Sweets")</f>
        <v>Sri krishna Sweets</v>
      </c>
      <c r="C183" s="88">
        <f>IFERROR(__xludf.DUMMYFUNCTION("""COMPUTED_VALUE"""),20.0)</f>
        <v>20</v>
      </c>
      <c r="D183" s="119" t="str">
        <f>IFERROR(__xludf.DUMMYFUNCTION("""COMPUTED_VALUE"""),"Waiting for Net Meter")</f>
        <v>Waiting for Net Meter</v>
      </c>
      <c r="E183" s="115">
        <f>IFERROR(__xludf.DUMMYFUNCTION("IMPORTRANGE(""https://docs.google.com/spreadsheets/d/1gaVN3uMItwqbCol6tnIHOQHZHoR3lB5WLGTJPCaCV7o/edit?gid=0#gid=0"",""Project details!B12"")"),998208.0)</f>
        <v>998208</v>
      </c>
      <c r="F183" s="115">
        <f>IFERROR(__xludf.DUMMYFUNCTION("IMPORTRANGE(""https://docs.google.com/spreadsheets/d/1gaVN3uMItwqbCol6tnIHOQHZHoR3lB5WLGTJPCaCV7o/edit?gid=0#gid=0"",""Project details!B13"")"),750629.7200000001)</f>
        <v>750629.72</v>
      </c>
      <c r="G183" s="116">
        <f>IFERROR(__xludf.DUMMYFUNCTION("IMPORTRANGE(""https://docs.google.com/spreadsheets/d/1gaVN3uMItwqbCol6tnIHOQHZHoR3lB5WLGTJPCaCV7o/edit?gid=0#gid=0"",""Project details!D12"")"),0.15)</f>
        <v>0.15</v>
      </c>
      <c r="H183" s="116">
        <f>IFERROR(__xludf.DUMMYFUNCTION("IMPORTRANGE(""https://docs.google.com/spreadsheets/d/1gaVN3uMItwqbCol6tnIHOQHZHoR3lB5WLGTJPCaCV7o/edit?gid=0#gid=0"",""Project details!D13"")"),0.2480227367442456)</f>
        <v>0.2480227367</v>
      </c>
      <c r="I183" s="118">
        <v>2025.0</v>
      </c>
      <c r="J183" s="115">
        <f t="shared" ref="J183:J210" si="16">E183-F183</f>
        <v>247578.28</v>
      </c>
    </row>
    <row r="184">
      <c r="A184" s="88">
        <f>IFERROR(__xludf.DUMMYFUNCTION("""COMPUTED_VALUE"""),183.0)</f>
        <v>183</v>
      </c>
      <c r="B184" s="109" t="str">
        <f>IFERROR(__xludf.DUMMYFUNCTION("""COMPUTED_VALUE"""),"Mahameru")</f>
        <v>Mahameru</v>
      </c>
      <c r="C184" s="88">
        <f>IFERROR(__xludf.DUMMYFUNCTION("""COMPUTED_VALUE"""),10.0)</f>
        <v>10</v>
      </c>
      <c r="D184" s="119" t="str">
        <f>IFERROR(__xludf.DUMMYFUNCTION("""COMPUTED_VALUE"""),"Waiting for Net Meter")</f>
        <v>Waiting for Net Meter</v>
      </c>
      <c r="E184" s="115">
        <f>IFERROR(__xludf.DUMMYFUNCTION("IMPORTRANGE(""https://docs.google.com/spreadsheets/d/1xw7KNHGDvdsmEKZi6Th4ylCYp4xIgrGoW590bZfDo6U/edit?gid=0#gid=0"",""Project details!B12"")"),387000.0)</f>
        <v>387000</v>
      </c>
      <c r="F184" s="115">
        <f>IFERROR(__xludf.DUMMYFUNCTION("IMPORTRANGE(""https://docs.google.com/spreadsheets/d/1xw7KNHGDvdsmEKZi6Th4ylCYp4xIgrGoW590bZfDo6U/edit?gid=0#gid=0"",""Project details!B13"")"),334954.4999999999)</f>
        <v>334954.5</v>
      </c>
      <c r="G184" s="116">
        <f>IFERROR(__xludf.DUMMYFUNCTION("IMPORTRANGE(""https://docs.google.com/spreadsheets/d/1xw7KNHGDvdsmEKZi6Th4ylCYp4xIgrGoW590bZfDo6U/edit?gid=0#gid=0"",""Project details!D12"")"),0.1)</f>
        <v>0.1</v>
      </c>
      <c r="H184" s="116">
        <f>IFERROR(__xludf.DUMMYFUNCTION("IMPORTRANGE(""https://docs.google.com/spreadsheets/d/1xw7KNHGDvdsmEKZi6Th4ylCYp4xIgrGoW590bZfDo6U/edit?gid=0#gid=0"",""Project details!D13"")"),0.13448449612403132)</f>
        <v>0.1344844961</v>
      </c>
      <c r="I184" s="118">
        <v>2025.0</v>
      </c>
      <c r="J184" s="115">
        <f t="shared" si="16"/>
        <v>52045.5</v>
      </c>
    </row>
    <row r="185">
      <c r="A185" s="120">
        <f>IFERROR(__xludf.DUMMYFUNCTION("""COMPUTED_VALUE"""),184.0)</f>
        <v>184</v>
      </c>
      <c r="B185" s="126" t="str">
        <f>IFERROR(__xludf.DUMMYFUNCTION("""COMPUTED_VALUE"""),"Jains Seven 77")</f>
        <v>Jains Seven 77</v>
      </c>
      <c r="C185" s="88">
        <f>IFERROR(__xludf.DUMMYFUNCTION("""COMPUTED_VALUE"""),30.0)</f>
        <v>30</v>
      </c>
      <c r="D185" s="119" t="str">
        <f>IFERROR(__xludf.DUMMYFUNCTION("""COMPUTED_VALUE"""),"Holding from client")</f>
        <v>Holding from client</v>
      </c>
      <c r="E185" s="115">
        <f>IFERROR(__xludf.DUMMYFUNCTION("IMPORTRANGE(""https://docs.google.com/spreadsheets/d/1LWGZv2FS9ZFPyVXAyM9N4e3cW8n30whsUn4zTb1FskU/edit?gid=0#gid=0"",""Project details!B12"")"),1168200.0)</f>
        <v>1168200</v>
      </c>
      <c r="F185" s="115">
        <f>IFERROR(__xludf.DUMMYFUNCTION("IMPORTRANGE(""https://docs.google.com/spreadsheets/d/1LWGZv2FS9ZFPyVXAyM9N4e3cW8n30whsUn4zTb1FskU/edit?gid=0#gid=0"",""Project details!B13"")"),980838.8600000001)</f>
        <v>980838.86</v>
      </c>
      <c r="G185" s="116">
        <f>IFERROR(__xludf.DUMMYFUNCTION("IMPORTRANGE(""https://docs.google.com/spreadsheets/d/1LWGZv2FS9ZFPyVXAyM9N4e3cW8n30whsUn4zTb1FskU/edit?gid=0#gid=0"",""Project details!D12"")"),0.15)</f>
        <v>0.15</v>
      </c>
      <c r="H185" s="116">
        <f>IFERROR(__xludf.DUMMYFUNCTION("IMPORTRANGE(""https://docs.google.com/spreadsheets/d/1LWGZv2FS9ZFPyVXAyM9N4e3cW8n30whsUn4zTb1FskU/edit?gid=0#gid=0"",""Project details!D13"")"),0.16038447183701413)</f>
        <v>0.1603844718</v>
      </c>
      <c r="I185" s="118">
        <v>2025.0</v>
      </c>
      <c r="J185" s="115">
        <f t="shared" si="16"/>
        <v>187361.14</v>
      </c>
    </row>
    <row r="186">
      <c r="A186" s="120">
        <f>IFERROR(__xludf.DUMMYFUNCTION("""COMPUTED_VALUE"""),185.0)</f>
        <v>185</v>
      </c>
      <c r="B186" s="109" t="str">
        <f>IFERROR(__xludf.DUMMYFUNCTION("""COMPUTED_VALUE"""),"SPDPL Luz Avenue")</f>
        <v>SPDPL Luz Avenue</v>
      </c>
      <c r="C186" s="88">
        <f>IFERROR(__xludf.DUMMYFUNCTION("""COMPUTED_VALUE"""),8.0)</f>
        <v>8</v>
      </c>
      <c r="D186" s="119" t="str">
        <f>IFERROR(__xludf.DUMMYFUNCTION("""COMPUTED_VALUE"""),"Completed")</f>
        <v>Completed</v>
      </c>
      <c r="E186" s="115">
        <f>IFERROR(__xludf.DUMMYFUNCTION("IMPORTRANGE(""https://docs.google.com/spreadsheets/d/1mjawn1AJeoqfa-Bn-lbvtmNnvN7SJUnQnScwIwEYrxw/edit?gid=0#gid=0"",""Project details!B12"")"),374058.0)</f>
        <v>374058</v>
      </c>
      <c r="F186" s="115">
        <f>IFERROR(__xludf.DUMMYFUNCTION("IMPORTRANGE(""https://docs.google.com/spreadsheets/d/1mjawn1AJeoqfa-Bn-lbvtmNnvN7SJUnQnScwIwEYrxw/edit?gid=0#gid=0"",""Project details!B13"")"),298422.95999999996)</f>
        <v>298422.96</v>
      </c>
      <c r="G186" s="116">
        <f>IFERROR(__xludf.DUMMYFUNCTION("IMPORTRANGE(""https://docs.google.com/spreadsheets/d/1mjawn1AJeoqfa-Bn-lbvtmNnvN7SJUnQnScwIwEYrxw/edit?gid=0#gid=0"",""Project details!D12"")"),0.1)</f>
        <v>0.1</v>
      </c>
      <c r="H186" s="116">
        <f>IFERROR(__xludf.DUMMYFUNCTION("IMPORTRANGE(""https://docs.google.com/spreadsheets/d/1mjawn1AJeoqfa-Bn-lbvtmNnvN7SJUnQnScwIwEYrxw/edit?gid=0#gid=0"",""Project details!D13"")"),0.20220136984104078)</f>
        <v>0.2022013698</v>
      </c>
      <c r="I186" s="118">
        <v>2025.0</v>
      </c>
      <c r="J186" s="115">
        <f t="shared" si="16"/>
        <v>75635.04</v>
      </c>
    </row>
    <row r="187">
      <c r="A187" s="88">
        <f>IFERROR(__xludf.DUMMYFUNCTION("""COMPUTED_VALUE"""),186.0)</f>
        <v>186</v>
      </c>
      <c r="B187" s="109" t="str">
        <f>IFERROR(__xludf.DUMMYFUNCTION("""COMPUTED_VALUE"""),"Jains Aadhidev")</f>
        <v>Jains Aadhidev</v>
      </c>
      <c r="C187" s="88">
        <f>IFERROR(__xludf.DUMMYFUNCTION("""COMPUTED_VALUE"""),30.0)</f>
        <v>30</v>
      </c>
      <c r="D187" s="119" t="str">
        <f>IFERROR(__xludf.DUMMYFUNCTION("""COMPUTED_VALUE"""),"Holding from client")</f>
        <v>Holding from client</v>
      </c>
      <c r="E187" s="115">
        <f>IFERROR(__xludf.DUMMYFUNCTION("IMPORTRANGE(""https://docs.google.com/spreadsheets/d/1ma3_alhgTQebmlMZ8h47E0p0jIPQxP2PPV5q-sJDV9E/edit?gid=0#gid=0"",""Project details!B12"")"),1168200.0)</f>
        <v>1168200</v>
      </c>
      <c r="F187" s="115">
        <f>IFERROR(__xludf.DUMMYFUNCTION("IMPORTRANGE(""https://docs.google.com/spreadsheets/d/1ma3_alhgTQebmlMZ8h47E0p0jIPQxP2PPV5q-sJDV9E/edit?gid=0#gid=0"",""Project details!B13"")"),983307.06)</f>
        <v>983307.06</v>
      </c>
      <c r="G187" s="116">
        <f>IFERROR(__xludf.DUMMYFUNCTION("IMPORTRANGE(""https://docs.google.com/spreadsheets/d/1ma3_alhgTQebmlMZ8h47E0p0jIPQxP2PPV5q-sJDV9E/edit?gid=0#gid=0"",""Project details!D12"")"),0.15)</f>
        <v>0.15</v>
      </c>
      <c r="H187" s="116">
        <f>IFERROR(__xludf.DUMMYFUNCTION("IMPORTRANGE(""https://docs.google.com/spreadsheets/d/1ma3_alhgTQebmlMZ8h47E0p0jIPQxP2PPV5q-sJDV9E/edit?gid=0#gid=0"",""Project details!D13"")"),0.1582716486902927)</f>
        <v>0.1582716487</v>
      </c>
      <c r="I187" s="118">
        <v>2025.0</v>
      </c>
      <c r="J187" s="115">
        <f t="shared" si="16"/>
        <v>184892.94</v>
      </c>
    </row>
    <row r="188">
      <c r="A188" s="88">
        <f>IFERROR(__xludf.DUMMYFUNCTION("""COMPUTED_VALUE"""),187.0)</f>
        <v>187</v>
      </c>
      <c r="B188" s="109" t="str">
        <f>IFERROR(__xludf.DUMMYFUNCTION("""COMPUTED_VALUE"""),"Mr Arjun Prasath")</f>
        <v>Mr Arjun Prasath</v>
      </c>
      <c r="C188" s="88">
        <f>IFERROR(__xludf.DUMMYFUNCTION("""COMPUTED_VALUE"""),9.7)</f>
        <v>9.7</v>
      </c>
      <c r="D188" s="119" t="str">
        <f>IFERROR(__xludf.DUMMYFUNCTION("""COMPUTED_VALUE"""),"Completed")</f>
        <v>Completed</v>
      </c>
      <c r="E188" s="115">
        <f>IFERROR(__xludf.DUMMYFUNCTION("IMPORTRANGE(""https://docs.google.com/spreadsheets/d/1e3hhF0NJecoDhQ3DHzSQmbehvEEkuGp06ibBBEMH9f4/edit?gid=0#gid=0"",""Project details!B12"")"),504192.0)</f>
        <v>504192</v>
      </c>
      <c r="F188" s="115">
        <f>IFERROR(__xludf.DUMMYFUNCTION("IMPORTRANGE(""https://docs.google.com/spreadsheets/d/1e3hhF0NJecoDhQ3DHzSQmbehvEEkuGp06ibBBEMH9f4/edit?gid=0#gid=0"",""Project details!B13"")"),391158.77999999997)</f>
        <v>391158.78</v>
      </c>
      <c r="G188" s="116">
        <f>IFERROR(__xludf.DUMMYFUNCTION("IMPORTRANGE(""https://docs.google.com/spreadsheets/d/1e3hhF0NJecoDhQ3DHzSQmbehvEEkuGp06ibBBEMH9f4/edit?gid=0#gid=0"",""Project details!D12"")"),0.1)</f>
        <v>0.1</v>
      </c>
      <c r="H188" s="116">
        <f>IFERROR(__xludf.DUMMYFUNCTION("IMPORTRANGE(""https://docs.google.com/spreadsheets/d/1e3hhF0NJecoDhQ3DHzSQmbehvEEkuGp06ibBBEMH9f4/edit?gid=0#gid=0"",""Project details!D13"")"),0.2241868573876619)</f>
        <v>0.2241868574</v>
      </c>
      <c r="I188" s="118">
        <v>2025.0</v>
      </c>
      <c r="J188" s="115">
        <f t="shared" si="16"/>
        <v>113033.22</v>
      </c>
    </row>
    <row r="189">
      <c r="A189" s="120">
        <f>IFERROR(__xludf.DUMMYFUNCTION("""COMPUTED_VALUE"""),188.0)</f>
        <v>188</v>
      </c>
      <c r="B189" s="109" t="str">
        <f>IFERROR(__xludf.DUMMYFUNCTION("""COMPUTED_VALUE"""),"Zeneto infra")</f>
        <v>Zeneto infra</v>
      </c>
      <c r="C189" s="88">
        <f>IFERROR(__xludf.DUMMYFUNCTION("""COMPUTED_VALUE"""),3.3)</f>
        <v>3.3</v>
      </c>
      <c r="D189" s="119" t="str">
        <f>IFERROR(__xludf.DUMMYFUNCTION("""COMPUTED_VALUE"""),"Waiting for Net Meter")</f>
        <v>Waiting for Net Meter</v>
      </c>
      <c r="E189" s="115">
        <f>IFERROR(__xludf.DUMMYFUNCTION("IMPORTRANGE(""https://docs.google.com/spreadsheets/d/1-pdSBqWo3YIxNY30-pxv353wXI90xHcZxqZtPrHt0fM/edit?gid=0#gid=0"",""Project details!B12"")"),167165.0)</f>
        <v>167165</v>
      </c>
      <c r="F189" s="115">
        <f>IFERROR(__xludf.DUMMYFUNCTION("IMPORTRANGE(""https://docs.google.com/spreadsheets/d/1-pdSBqWo3YIxNY30-pxv353wXI90xHcZxqZtPrHt0fM/edit?gid=0#gid=0"",""Project details!B13"")"),115864.73999999999)</f>
        <v>115864.74</v>
      </c>
      <c r="G189" s="116">
        <f>IFERROR(__xludf.DUMMYFUNCTION("IMPORTRANGE(""https://docs.google.com/spreadsheets/d/1-pdSBqWo3YIxNY30-pxv353wXI90xHcZxqZtPrHt0fM/edit?gid=0#gid=0"",""Project details!D12"")"),0.1)</f>
        <v>0.1</v>
      </c>
      <c r="H189" s="116">
        <f>IFERROR(__xludf.DUMMYFUNCTION("IMPORTRANGE(""https://docs.google.com/spreadsheets/d/1-pdSBqWo3YIxNY30-pxv353wXI90xHcZxqZtPrHt0fM/edit?gid=0#gid=0"",""Project details!D13"")"),0.306883976909042)</f>
        <v>0.3068839769</v>
      </c>
      <c r="I189" s="118">
        <v>2025.0</v>
      </c>
      <c r="J189" s="115">
        <f t="shared" si="16"/>
        <v>51300.26</v>
      </c>
    </row>
    <row r="190">
      <c r="A190" s="120">
        <f>IFERROR(__xludf.DUMMYFUNCTION("""COMPUTED_VALUE"""),189.0)</f>
        <v>189</v>
      </c>
      <c r="B190" s="109" t="str">
        <f>IFERROR(__xludf.DUMMYFUNCTION("""COMPUTED_VALUE"""),"Mr Sridhar Rajan")</f>
        <v>Mr Sridhar Rajan</v>
      </c>
      <c r="C190" s="88">
        <f>IFERROR(__xludf.DUMMYFUNCTION("""COMPUTED_VALUE"""),6.0)</f>
        <v>6</v>
      </c>
      <c r="D190" s="119" t="str">
        <f>IFERROR(__xludf.DUMMYFUNCTION("""COMPUTED_VALUE"""),"Completed")</f>
        <v>Completed</v>
      </c>
      <c r="E190" s="115">
        <f>IFERROR(__xludf.DUMMYFUNCTION("IMPORTRANGE(""https://docs.google.com/spreadsheets/d/1BPkhBdZIrzJiChfTqaWjuxKV9V-qB-Vf2k-2tHndNxw/edit?gid=0#gid=0"",""Project details!B12"")"),429217.0)</f>
        <v>429217</v>
      </c>
      <c r="F190" s="115">
        <f>IFERROR(__xludf.DUMMYFUNCTION("IMPORTRANGE(""https://docs.google.com/spreadsheets/d/1BPkhBdZIrzJiChfTqaWjuxKV9V-qB-Vf2k-2tHndNxw/edit?gid=0#gid=0"",""Project details!B13"")"),309169.10000000003)</f>
        <v>309169.1</v>
      </c>
      <c r="G190" s="116">
        <f>IFERROR(__xludf.DUMMYFUNCTION("IMPORTRANGE(""https://docs.google.com/spreadsheets/d/1BPkhBdZIrzJiChfTqaWjuxKV9V-qB-Vf2k-2tHndNxw/edit?gid=0#gid=0"",""Project details!D12"")"),0.15)</f>
        <v>0.15</v>
      </c>
      <c r="H190" s="116">
        <f>IFERROR(__xludf.DUMMYFUNCTION("IMPORTRANGE(""https://docs.google.com/spreadsheets/d/1BPkhBdZIrzJiChfTqaWjuxKV9V-qB-Vf2k-2tHndNxw/edit?gid=0#gid=0"",""Project details!D13"")"),0.27969045960434924)</f>
        <v>0.2796904596</v>
      </c>
      <c r="I190" s="118">
        <v>2025.0</v>
      </c>
      <c r="J190" s="115">
        <f t="shared" si="16"/>
        <v>120047.9</v>
      </c>
    </row>
    <row r="191">
      <c r="A191" s="88">
        <f>IFERROR(__xludf.DUMMYFUNCTION("""COMPUTED_VALUE"""),190.0)</f>
        <v>190</v>
      </c>
      <c r="B191" s="109" t="str">
        <f>IFERROR(__xludf.DUMMYFUNCTION("""COMPUTED_VALUE"""),"Mr Rangachari")</f>
        <v>Mr Rangachari</v>
      </c>
      <c r="C191" s="88">
        <f>IFERROR(__xludf.DUMMYFUNCTION("""COMPUTED_VALUE"""),8.0)</f>
        <v>8</v>
      </c>
      <c r="D191" s="119" t="str">
        <f>IFERROR(__xludf.DUMMYFUNCTION("""COMPUTED_VALUE"""),"Completed")</f>
        <v>Completed</v>
      </c>
      <c r="E191" s="115">
        <f>IFERROR(__xludf.DUMMYFUNCTION("IMPORTRANGE(""https://docs.google.com/spreadsheets/d/1Q_ydvbCbNBHHthOPiIN5E-O_QeZO0KeQKBrAH1t5wrI/edit?gid=0#gid=0"",""Project details!B12"")"),496000.0)</f>
        <v>496000</v>
      </c>
      <c r="F191" s="115">
        <f>IFERROR(__xludf.DUMMYFUNCTION("IMPORTRANGE(""https://docs.google.com/spreadsheets/d/1Q_ydvbCbNBHHthOPiIN5E-O_QeZO0KeQKBrAH1t5wrI/edit?gid=0#gid=0"",""Project details!B13"")"),368479.92)</f>
        <v>368479.92</v>
      </c>
      <c r="G191" s="116">
        <f>IFERROR(__xludf.DUMMYFUNCTION("IMPORTRANGE(""https://docs.google.com/spreadsheets/d/1Q_ydvbCbNBHHthOPiIN5E-O_QeZO0KeQKBrAH1t5wrI/edit?gid=0#gid=0"",""Project details!D12"")"),0.1)</f>
        <v>0.1</v>
      </c>
      <c r="H191" s="116">
        <f>IFERROR(__xludf.DUMMYFUNCTION("IMPORTRANGE(""https://docs.google.com/spreadsheets/d/1Q_ydvbCbNBHHthOPiIN5E-O_QeZO0KeQKBrAH1t5wrI/edit?gid=0#gid=0"",""Project details!D13"")"),0.257096935483871)</f>
        <v>0.2570969355</v>
      </c>
      <c r="I191" s="118">
        <v>2025.0</v>
      </c>
      <c r="J191" s="115">
        <f t="shared" si="16"/>
        <v>127520.08</v>
      </c>
    </row>
    <row r="192">
      <c r="A192" s="127">
        <f>IFERROR(__xludf.DUMMYFUNCTION("""COMPUTED_VALUE"""),191.0)</f>
        <v>191</v>
      </c>
      <c r="B192" s="128" t="str">
        <f>IFERROR(__xludf.DUMMYFUNCTION("""COMPUTED_VALUE"""),"Mr.Sukumaran")</f>
        <v>Mr.Sukumaran</v>
      </c>
      <c r="C192" s="127">
        <f>IFERROR(__xludf.DUMMYFUNCTION("""COMPUTED_VALUE"""),3.3)</f>
        <v>3.3</v>
      </c>
      <c r="D192" s="129" t="str">
        <f>IFERROR(__xludf.DUMMYFUNCTION("""COMPUTED_VALUE"""),"Completed")</f>
        <v>Completed</v>
      </c>
      <c r="E192" s="112">
        <v>217565.0</v>
      </c>
      <c r="F192" s="112">
        <v>159613.004999999</v>
      </c>
      <c r="G192" s="116">
        <f>IFERROR(__xludf.DUMMYFUNCTION("IMPORTRANGE(""https://docs.google.com/spreadsheets/d/12CVE3hbqD6KxSyiQkCO_wOFd0Eh2KmMdtpWC68mSS9M/edit?gid=0#gid=0"",""Project details!D12"")"),0.1)</f>
        <v>0.1</v>
      </c>
      <c r="H192" s="116">
        <f>IFERROR(__xludf.DUMMYFUNCTION("IMPORTRANGE(""https://docs.google.com/spreadsheets/d/12CVE3hbqD6KxSyiQkCO_wOFd0Eh2KmMdtpWC68mSS9M/edit?gid=0#gid=0"",""Project details!D13"")"),0.2663663502861215)</f>
        <v>0.2663663503</v>
      </c>
      <c r="I192" s="118">
        <v>2025.0</v>
      </c>
      <c r="J192" s="115">
        <f t="shared" si="16"/>
        <v>57951.995</v>
      </c>
    </row>
    <row r="193">
      <c r="A193" s="88">
        <f>IFERROR(__xludf.DUMMYFUNCTION("""COMPUTED_VALUE"""),192.0)</f>
        <v>192</v>
      </c>
      <c r="B193" s="109" t="str">
        <f>IFERROR(__xludf.DUMMYFUNCTION("""COMPUTED_VALUE"""),"Ramaniyam Nivasam")</f>
        <v>Ramaniyam Nivasam</v>
      </c>
      <c r="C193" s="88">
        <f>IFERROR(__xludf.DUMMYFUNCTION("""COMPUTED_VALUE"""),4.4)</f>
        <v>4.4</v>
      </c>
      <c r="D193" s="119" t="str">
        <f>IFERROR(__xludf.DUMMYFUNCTION("""COMPUTED_VALUE"""),"Completed")</f>
        <v>Completed</v>
      </c>
      <c r="E193" s="115">
        <f>IFERROR(__xludf.DUMMYFUNCTION("IMPORTRANGE(""https://docs.google.com/spreadsheets/d/1ihSS6E-StghGsr07ijP9d7dRiNxI8w7hiNVU_ZCEJ8A/edit?gid=0#gid=0"",""Project details!B12"")"),221806.0)</f>
        <v>221806</v>
      </c>
      <c r="F193" s="115">
        <f>IFERROR(__xludf.DUMMYFUNCTION("IMPORTRANGE(""https://docs.google.com/spreadsheets/d/1ihSS6E-StghGsr07ijP9d7dRiNxI8w7hiNVU_ZCEJ8A/edit?gid=0#gid=0"",""Project details!B13"")"),136826.39)</f>
        <v>136826.39</v>
      </c>
      <c r="G193" s="116">
        <f>IFERROR(__xludf.DUMMYFUNCTION("IMPORTRANGE(""https://docs.google.com/spreadsheets/d/1ihSS6E-StghGsr07ijP9d7dRiNxI8w7hiNVU_ZCEJ8A/edit?gid=0#gid=0"",""Project details!D12"")"),0.1)</f>
        <v>0.1</v>
      </c>
      <c r="H193" s="116">
        <f>IFERROR(__xludf.DUMMYFUNCTION("IMPORTRANGE(""https://docs.google.com/spreadsheets/d/1ihSS6E-StghGsr07ijP9d7dRiNxI8w7hiNVU_ZCEJ8A/edit?gid=0#gid=0"",""Project details!D13"")"),0.3831258396977538)</f>
        <v>0.3831258397</v>
      </c>
      <c r="I193" s="118">
        <v>2025.0</v>
      </c>
      <c r="J193" s="115">
        <f t="shared" si="16"/>
        <v>84979.61</v>
      </c>
    </row>
    <row r="194">
      <c r="A194" s="88">
        <f>IFERROR(__xludf.DUMMYFUNCTION("""COMPUTED_VALUE"""),193.0)</f>
        <v>193</v>
      </c>
      <c r="B194" s="109" t="str">
        <f>IFERROR(__xludf.DUMMYFUNCTION("""COMPUTED_VALUE"""),"Hindu School Adyar / Service")</f>
        <v>Hindu School Adyar / Service</v>
      </c>
      <c r="C194" s="88">
        <f>IFERROR(__xludf.DUMMYFUNCTION("""COMPUTED_VALUE"""),50.0)</f>
        <v>50</v>
      </c>
      <c r="D194" s="119" t="str">
        <f>IFERROR(__xludf.DUMMYFUNCTION("""COMPUTED_VALUE"""),"Completed")</f>
        <v>Completed</v>
      </c>
      <c r="E194" s="115">
        <f>IFERROR(__xludf.DUMMYFUNCTION("IMPORTRANGE(""https://docs.google.com/spreadsheets/d/1dqVX6u9Wfoyhd6OzT59HtGDwyZX2H7BTtYounQ2oECQ/edit?gid=0#gid=0"",""Project details!B12"")"),422276.0)</f>
        <v>422276</v>
      </c>
      <c r="F194" s="115">
        <f>IFERROR(__xludf.DUMMYFUNCTION("IMPORTRANGE(""https://docs.google.com/spreadsheets/d/1dqVX6u9Wfoyhd6OzT59HtGDwyZX2H7BTtYounQ2oECQ/edit?gid=0#gid=0"",""Project details!B13"")"),251381.88)</f>
        <v>251381.88</v>
      </c>
      <c r="G194" s="116">
        <f>IFERROR(__xludf.DUMMYFUNCTION("IMPORTRANGE(""https://docs.google.com/spreadsheets/d/1dqVX6u9Wfoyhd6OzT59HtGDwyZX2H7BTtYounQ2oECQ/edit?gid=0#gid=0"",""Project details!D12"")"),0.1)</f>
        <v>0.1</v>
      </c>
      <c r="H194" s="116">
        <f>IFERROR(__xludf.DUMMYFUNCTION("IMPORTRANGE(""https://docs.google.com/spreadsheets/d/1dqVX6u9Wfoyhd6OzT59HtGDwyZX2H7BTtYounQ2oECQ/edit?gid=0#gid=0"",""Project details!D13"")"),0.404697685873694)</f>
        <v>0.4046976859</v>
      </c>
      <c r="I194" s="118">
        <v>2025.0</v>
      </c>
      <c r="J194" s="115">
        <f t="shared" si="16"/>
        <v>170894.12</v>
      </c>
    </row>
    <row r="195">
      <c r="A195" s="88">
        <f>IFERROR(__xludf.DUMMYFUNCTION("""COMPUTED_VALUE"""),194.0)</f>
        <v>194</v>
      </c>
      <c r="B195" s="109" t="str">
        <f>IFERROR(__xludf.DUMMYFUNCTION("""COMPUTED_VALUE"""),"GRN Ambili Srinivas")</f>
        <v>GRN Ambili Srinivas</v>
      </c>
      <c r="C195" s="88">
        <f>IFERROR(__xludf.DUMMYFUNCTION("""COMPUTED_VALUE"""),3.3)</f>
        <v>3.3</v>
      </c>
      <c r="D195" s="119" t="str">
        <f>IFERROR(__xludf.DUMMYFUNCTION("""COMPUTED_VALUE"""),"Completed")</f>
        <v>Completed</v>
      </c>
      <c r="E195" s="115">
        <f>IFERROR(__xludf.DUMMYFUNCTION("IMPORTRANGE(""https://docs.google.com/spreadsheets/d/12rQYuu_lyDJ4E4xcglwd1WZfMVc2DRAxcZkE62-Afiw/edit?gid=0#gid=0"",""Project details!B12"")"),208993.0)</f>
        <v>208993</v>
      </c>
      <c r="F195" s="115">
        <f>IFERROR(__xludf.DUMMYFUNCTION("IMPORTRANGE(""https://docs.google.com/spreadsheets/d/12rQYuu_lyDJ4E4xcglwd1WZfMVc2DRAxcZkE62-Afiw/edit?gid=0#gid=0"",""Project details!B13"")"),160335.06000000003)</f>
        <v>160335.06</v>
      </c>
      <c r="G195" s="116">
        <f>IFERROR(__xludf.DUMMYFUNCTION("IMPORTRANGE(""https://docs.google.com/spreadsheets/d/12rQYuu_lyDJ4E4xcglwd1WZfMVc2DRAxcZkE62-Afiw/edit?gid=0#gid=0"",""Project details!D12"")"),0.1)</f>
        <v>0.1</v>
      </c>
      <c r="H195" s="116">
        <f>IFERROR(__xludf.DUMMYFUNCTION("IMPORTRANGE(""https://docs.google.com/spreadsheets/d/12rQYuu_lyDJ4E4xcglwd1WZfMVc2DRAxcZkE62-Afiw/edit?gid=0#gid=0"",""Project details!D13"")"),0.2328209078772972)</f>
        <v>0.2328209079</v>
      </c>
      <c r="I195" s="118">
        <v>2025.0</v>
      </c>
      <c r="J195" s="115">
        <f t="shared" si="16"/>
        <v>48657.94</v>
      </c>
    </row>
    <row r="196">
      <c r="A196" s="120">
        <f>IFERROR(__xludf.DUMMYFUNCTION("""COMPUTED_VALUE"""),195.0)</f>
        <v>195</v>
      </c>
      <c r="B196" s="109" t="str">
        <f>IFERROR(__xludf.DUMMYFUNCTION("""COMPUTED_VALUE"""),"SPDPL Padmalaiya")</f>
        <v>SPDPL Padmalaiya</v>
      </c>
      <c r="C196" s="88">
        <f>IFERROR(__xludf.DUMMYFUNCTION("""COMPUTED_VALUE"""),4.4)</f>
        <v>4.4</v>
      </c>
      <c r="D196" s="119" t="str">
        <f>IFERROR(__xludf.DUMMYFUNCTION("""COMPUTED_VALUE"""),"Completed")</f>
        <v>Completed</v>
      </c>
      <c r="E196" s="115">
        <f>IFERROR(__xludf.DUMMYFUNCTION("IMPORTRANGE(""https://docs.google.com/spreadsheets/d/1fMi0JxPDlApg2LwEmycZG576FmPVbSz1CMNXxsMZSSM/edit?gid=1405343218#gid=1405343218"",""Project details!B12"")"),243001.0)</f>
        <v>243001</v>
      </c>
      <c r="F196" s="115">
        <f>IFERROR(__xludf.DUMMYFUNCTION("IMPORTRANGE(""https://docs.google.com/spreadsheets/d/1fMi0JxPDlApg2LwEmycZG576FmPVbSz1CMNXxsMZSSM/edit?gid=1405343218#gid=1405343218"",""Project details!B13"")"),155835.97000000003)</f>
        <v>155835.97</v>
      </c>
      <c r="G196" s="116">
        <f>IFERROR(__xludf.DUMMYFUNCTION("IMPORTRANGE(""https://docs.google.com/spreadsheets/d/1fMi0JxPDlApg2LwEmycZG576FmPVbSz1CMNXxsMZSSM/edit?gid=1405343218#gid=1405343218"",""Project details!D12"")"),0.1)</f>
        <v>0.1</v>
      </c>
      <c r="H196" s="116">
        <f>IFERROR(__xludf.DUMMYFUNCTION("IMPORTRANGE(""https://docs.google.com/spreadsheets/d/1fMi0JxPDlApg2LwEmycZG576FmPVbSz1CMNXxsMZSSM/edit?gid=1405343218#gid=1405343218"",""Project details!D13"")"),0.3587023510191315)</f>
        <v>0.358702351</v>
      </c>
      <c r="I196" s="118">
        <v>2025.0</v>
      </c>
      <c r="J196" s="115">
        <f t="shared" si="16"/>
        <v>87165.03</v>
      </c>
    </row>
    <row r="197">
      <c r="A197" s="120">
        <f>IFERROR(__xludf.DUMMYFUNCTION("""COMPUTED_VALUE"""),196.0)</f>
        <v>196</v>
      </c>
      <c r="B197" s="109" t="str">
        <f>IFERROR(__xludf.DUMMYFUNCTION("""COMPUTED_VALUE"""),"Nirupa Properties")</f>
        <v>Nirupa Properties</v>
      </c>
      <c r="C197" s="88">
        <f>IFERROR(__xludf.DUMMYFUNCTION("""COMPUTED_VALUE"""),2.2)</f>
        <v>2.2</v>
      </c>
      <c r="D197" s="119" t="str">
        <f>IFERROR(__xludf.DUMMYFUNCTION("""COMPUTED_VALUE"""),"Completed")</f>
        <v>Completed</v>
      </c>
      <c r="E197" s="115">
        <f>IFERROR(__xludf.DUMMYFUNCTION("IMPORTRANGE(""https://docs.google.com/spreadsheets/d/1_MEKdWn3xxGyADi3GqUd1HwAMDS47ZL5sqqvRieLO7w/edit?gid=0#gid=0"",""Project details!B12"")"),150000.0)</f>
        <v>150000</v>
      </c>
      <c r="F197" s="115">
        <f>IFERROR(__xludf.DUMMYFUNCTION("IMPORTRANGE(""https://docs.google.com/spreadsheets/d/1_MEKdWn3xxGyADi3GqUd1HwAMDS47ZL5sqqvRieLO7w/edit?gid=0#gid=0"",""Project details!B13"")"),95095.2)</f>
        <v>95095.2</v>
      </c>
      <c r="G197" s="116">
        <f>IFERROR(__xludf.DUMMYFUNCTION("IMPORTRANGE(""https://docs.google.com/spreadsheets/d/1_MEKdWn3xxGyADi3GqUd1HwAMDS47ZL5sqqvRieLO7w/edit?gid=0#gid=0"",""Project details!D12"")"),0.1)</f>
        <v>0.1</v>
      </c>
      <c r="H197" s="116">
        <f>IFERROR(__xludf.DUMMYFUNCTION("IMPORTRANGE(""https://docs.google.com/spreadsheets/d/1_MEKdWn3xxGyADi3GqUd1HwAMDS47ZL5sqqvRieLO7w/edit?gid=0#gid=0"",""Project details!D13"")"),0.366032)</f>
        <v>0.366032</v>
      </c>
      <c r="I197" s="118">
        <v>2025.0</v>
      </c>
      <c r="J197" s="115">
        <f t="shared" si="16"/>
        <v>54904.8</v>
      </c>
    </row>
    <row r="198">
      <c r="A198" s="88">
        <f>IFERROR(__xludf.DUMMYFUNCTION("""COMPUTED_VALUE"""),197.0)</f>
        <v>197</v>
      </c>
      <c r="B198" s="109" t="str">
        <f>IFERROR(__xludf.DUMMYFUNCTION("""COMPUTED_VALUE"""),"Mr.Karthikeyan / CM Constructions")</f>
        <v>Mr.Karthikeyan / CM Constructions</v>
      </c>
      <c r="C198" s="88">
        <f>IFERROR(__xludf.DUMMYFUNCTION("""COMPUTED_VALUE"""),4.8)</f>
        <v>4.8</v>
      </c>
      <c r="D198" s="119" t="str">
        <f>IFERROR(__xludf.DUMMYFUNCTION("""COMPUTED_VALUE"""),"Completed")</f>
        <v>Completed</v>
      </c>
      <c r="E198" s="115">
        <f>IFERROR(__xludf.DUMMYFUNCTION("IMPORTRANGE(""https://docs.google.com/spreadsheets/d/10uYmWbf1IEok44tlo5eDh7BWV-BjMzgUVEjDrJjcwFQ/edit?gid=0#gid=0"",""Project details!B12"")"),333000.0)</f>
        <v>333000</v>
      </c>
      <c r="F198" s="115">
        <f>IFERROR(__xludf.DUMMYFUNCTION("IMPORTRANGE(""https://docs.google.com/spreadsheets/d/10uYmWbf1IEok44tlo5eDh7BWV-BjMzgUVEjDrJjcwFQ/edit?gid=0#gid=0"",""Project details!B13"")"),289891.18)</f>
        <v>289891.18</v>
      </c>
      <c r="G198" s="116">
        <f>IFERROR(__xludf.DUMMYFUNCTION("IMPORTRANGE(""https://docs.google.com/spreadsheets/d/10uYmWbf1IEok44tlo5eDh7BWV-BjMzgUVEjDrJjcwFQ/edit?gid=0#gid=0"",""Project details!D12"")"),0.1)</f>
        <v>0.1</v>
      </c>
      <c r="H198" s="116">
        <f>IFERROR(__xludf.DUMMYFUNCTION("IMPORTRANGE(""https://docs.google.com/spreadsheets/d/10uYmWbf1IEok44tlo5eDh7BWV-BjMzgUVEjDrJjcwFQ/edit?gid=0#gid=0"",""Project details!D13"")"),0.12945591591591593)</f>
        <v>0.1294559159</v>
      </c>
      <c r="I198" s="118">
        <v>2025.0</v>
      </c>
      <c r="J198" s="115">
        <f t="shared" si="16"/>
        <v>43108.82</v>
      </c>
    </row>
    <row r="199">
      <c r="A199" s="88">
        <f>IFERROR(__xludf.DUMMYFUNCTION("""COMPUTED_VALUE"""),198.0)</f>
        <v>198</v>
      </c>
      <c r="B199" s="109" t="str">
        <f>IFERROR(__xludf.DUMMYFUNCTION("""COMPUTED_VALUE"""),"Sri krishna Sweets Factory")</f>
        <v>Sri krishna Sweets Factory</v>
      </c>
      <c r="C199" s="88">
        <f>IFERROR(__xludf.DUMMYFUNCTION("""COMPUTED_VALUE"""),100.0)</f>
        <v>100</v>
      </c>
      <c r="D199" s="119" t="str">
        <f>IFERROR(__xludf.DUMMYFUNCTION("""COMPUTED_VALUE"""),"On Progress")</f>
        <v>On Progress</v>
      </c>
      <c r="E199" s="115">
        <f>IFERROR(__xludf.DUMMYFUNCTION("IMPORTRANGE(""https://docs.google.com/spreadsheets/d/1E5Tk0V70VAYRlJXD5zvuD-jq_jXuYLgSKKBCvM9lgo0/edit?gid=0#gid=0"",""Project details!B12"")"),550000.0)</f>
        <v>550000</v>
      </c>
      <c r="F199" s="115">
        <f>IFERROR(__xludf.DUMMYFUNCTION("IMPORTRANGE(""https://docs.google.com/spreadsheets/d/1E5Tk0V70VAYRlJXD5zvuD-jq_jXuYLgSKKBCvM9lgo0/edit?gid=0#gid=0"",""Project details!B13"")"),456880.0)</f>
        <v>456880</v>
      </c>
      <c r="G199" s="116">
        <f>IFERROR(__xludf.DUMMYFUNCTION("IMPORTRANGE(""https://docs.google.com/spreadsheets/d/1E5Tk0V70VAYRlJXD5zvuD-jq_jXuYLgSKKBCvM9lgo0/edit?gid=0#gid=0"",""Project details!D12"")"),0.1)</f>
        <v>0.1</v>
      </c>
      <c r="H199" s="116">
        <f>IFERROR(__xludf.DUMMYFUNCTION("IMPORTRANGE(""https://docs.google.com/spreadsheets/d/1E5Tk0V70VAYRlJXD5zvuD-jq_jXuYLgSKKBCvM9lgo0/edit?gid=0#gid=0"",""Project details!D13"")"),0.1693090909090909)</f>
        <v>0.1693090909</v>
      </c>
      <c r="I199" s="118">
        <v>2025.0</v>
      </c>
      <c r="J199" s="115">
        <f t="shared" si="16"/>
        <v>93120</v>
      </c>
    </row>
    <row r="200">
      <c r="A200" s="120">
        <f>IFERROR(__xludf.DUMMYFUNCTION("""COMPUTED_VALUE"""),199.0)</f>
        <v>199</v>
      </c>
      <c r="B200" s="109" t="str">
        <f>IFERROR(__xludf.DUMMYFUNCTION("""COMPUTED_VALUE"""),"Mr Ravi / Tiruvannamalai ")</f>
        <v>Mr Ravi / Tiruvannamalai </v>
      </c>
      <c r="C200" s="88">
        <f>IFERROR(__xludf.DUMMYFUNCTION("""COMPUTED_VALUE"""),10.0)</f>
        <v>10</v>
      </c>
      <c r="D200" s="119" t="str">
        <f>IFERROR(__xludf.DUMMYFUNCTION("""COMPUTED_VALUE"""),"Completed")</f>
        <v>Completed</v>
      </c>
      <c r="E200" s="115">
        <f>IFERROR(__xludf.DUMMYFUNCTION("IMPORTRANGE(""https://docs.google.com/spreadsheets/d/14jt8Spq7hU1KzRU2YBCmti-uSpVvWGUu1X7hWrQYEGw/edit?gid=0#gid=0"",""Project details!B12"")"),160000.0)</f>
        <v>160000</v>
      </c>
      <c r="F200" s="115">
        <f>IFERROR(__xludf.DUMMYFUNCTION("IMPORTRANGE(""https://docs.google.com/spreadsheets/d/14jt8Spq7hU1KzRU2YBCmti-uSpVvWGUu1X7hWrQYEGw/edit?gid=0#gid=0"",""Project details!B13"")"),110073.2)</f>
        <v>110073.2</v>
      </c>
      <c r="G200" s="116">
        <f>IFERROR(__xludf.DUMMYFUNCTION("IMPORTRANGE(""https://docs.google.com/spreadsheets/d/14jt8Spq7hU1KzRU2YBCmti-uSpVvWGUu1X7hWrQYEGw/edit?gid=0#gid=0"",""Project details!D12"")"),0.15)</f>
        <v>0.15</v>
      </c>
      <c r="H200" s="116">
        <f>IFERROR(__xludf.DUMMYFUNCTION("IMPORTRANGE(""https://docs.google.com/spreadsheets/d/14jt8Spq7hU1KzRU2YBCmti-uSpVvWGUu1X7hWrQYEGw/edit?gid=0#gid=0"",""Project details!D13"")"),0.3120425)</f>
        <v>0.3120425</v>
      </c>
      <c r="I200" s="118">
        <v>2025.0</v>
      </c>
      <c r="J200" s="115">
        <f t="shared" si="16"/>
        <v>49926.8</v>
      </c>
    </row>
    <row r="201">
      <c r="A201" s="120">
        <f>IFERROR(__xludf.DUMMYFUNCTION("""COMPUTED_VALUE"""),200.0)</f>
        <v>200</v>
      </c>
      <c r="B201" s="109" t="str">
        <f>IFERROR(__xludf.DUMMYFUNCTION("""COMPUTED_VALUE"""),"Mr.Arunkumar")</f>
        <v>Mr.Arunkumar</v>
      </c>
      <c r="C201" s="88">
        <f>IFERROR(__xludf.DUMMYFUNCTION("""COMPUTED_VALUE"""),3.3)</f>
        <v>3.3</v>
      </c>
      <c r="D201" s="119" t="str">
        <f>IFERROR(__xludf.DUMMYFUNCTION("""COMPUTED_VALUE"""),"Completed")</f>
        <v>Completed</v>
      </c>
      <c r="E201" s="115">
        <f>IFERROR(__xludf.DUMMYFUNCTION("IMPORTRANGE(""https://docs.google.com/spreadsheets/d/15y3jVOdsCRCBXi-pl-KPs3J7SyIVnFL3nZ3RIvBUzmI/edit?gid=0#gid=0"",""Project details!B12"")"),195000.0)</f>
        <v>195000</v>
      </c>
      <c r="F201" s="115">
        <f>IFERROR(__xludf.DUMMYFUNCTION("IMPORTRANGE(""https://docs.google.com/spreadsheets/d/15y3jVOdsCRCBXi-pl-KPs3J7SyIVnFL3nZ3RIvBUzmI/edit?gid=0#gid=0"",""Project details!B13"")"),179076.26000000004)</f>
        <v>179076.26</v>
      </c>
      <c r="G201" s="116">
        <f>IFERROR(__xludf.DUMMYFUNCTION("IMPORTRANGE(""https://docs.google.com/spreadsheets/d/15y3jVOdsCRCBXi-pl-KPs3J7SyIVnFL3nZ3RIvBUzmI/edit?gid=0#gid=0"",""Project details!D12"")"),0.1)</f>
        <v>0.1</v>
      </c>
      <c r="H201" s="116">
        <f>IFERROR(__xludf.DUMMYFUNCTION("IMPORTRANGE(""https://docs.google.com/spreadsheets/d/15y3jVOdsCRCBXi-pl-KPs3J7SyIVnFL3nZ3RIvBUzmI/edit?gid=0#gid=0"",""Project details!D13"")"),0.08166020512820493)</f>
        <v>0.08166020513</v>
      </c>
      <c r="I201" s="118">
        <v>2025.0</v>
      </c>
      <c r="J201" s="115">
        <f t="shared" si="16"/>
        <v>15923.74</v>
      </c>
    </row>
    <row r="202">
      <c r="A202" s="88">
        <f>IFERROR(__xludf.DUMMYFUNCTION("""COMPUTED_VALUE"""),201.0)</f>
        <v>201</v>
      </c>
      <c r="B202" s="109" t="str">
        <f>IFERROR(__xludf.DUMMYFUNCTION("""COMPUTED_VALUE"""),"Rakshas Enterprises")</f>
        <v>Rakshas Enterprises</v>
      </c>
      <c r="C202" s="88">
        <f>IFERROR(__xludf.DUMMYFUNCTION("""COMPUTED_VALUE"""),10.0)</f>
        <v>10</v>
      </c>
      <c r="D202" s="119" t="str">
        <f>IFERROR(__xludf.DUMMYFUNCTION("""COMPUTED_VALUE"""),"Waiting for Net Meter")</f>
        <v>Waiting for Net Meter</v>
      </c>
      <c r="E202" s="115">
        <f>IFERROR(__xludf.DUMMYFUNCTION("IMPORTRANGE(""https://docs.google.com/spreadsheets/d/1kF7tjJMpNvgLEorZvO4Jty3MA2wcyWwFc9CyWJ7sPLI/edit?gid=0#gid=0"",""Project details!B12"")"),500000.0)</f>
        <v>500000</v>
      </c>
      <c r="F202" s="115">
        <f>IFERROR(__xludf.DUMMYFUNCTION("IMPORTRANGE(""https://docs.google.com/spreadsheets/d/1kF7tjJMpNvgLEorZvO4Jty3MA2wcyWwFc9CyWJ7sPLI/edit?gid=0#gid=0"",""Project details!B13"")"),398427.5400000001)</f>
        <v>398427.54</v>
      </c>
      <c r="G202" s="116">
        <f>IFERROR(__xludf.DUMMYFUNCTION("IMPORTRANGE(""https://docs.google.com/spreadsheets/d/1kF7tjJMpNvgLEorZvO4Jty3MA2wcyWwFc9CyWJ7sPLI/edit?gid=0#gid=0"",""Project details!D12"")"),0.125)</f>
        <v>0.125</v>
      </c>
      <c r="H202" s="116">
        <f>IFERROR(__xludf.DUMMYFUNCTION("IMPORTRANGE(""https://docs.google.com/spreadsheets/d/1kF7tjJMpNvgLEorZvO4Jty3MA2wcyWwFc9CyWJ7sPLI/edit?gid=0#gid=0"",""Project details!D13"")"),0.2031449199999998)</f>
        <v>0.20314492</v>
      </c>
      <c r="I202" s="118">
        <v>2025.0</v>
      </c>
      <c r="J202" s="115">
        <f t="shared" si="16"/>
        <v>101572.46</v>
      </c>
    </row>
    <row r="203">
      <c r="A203" s="88">
        <f>IFERROR(__xludf.DUMMYFUNCTION("""COMPUTED_VALUE"""),202.0)</f>
        <v>202</v>
      </c>
      <c r="B203" s="109" t="str">
        <f>IFERROR(__xludf.DUMMYFUNCTION("""COMPUTED_VALUE"""),"Mr.Anilkumar Mehta - Office")</f>
        <v>Mr.Anilkumar Mehta - Office</v>
      </c>
      <c r="C203" s="88">
        <f>IFERROR(__xludf.DUMMYFUNCTION("""COMPUTED_VALUE"""),10.5)</f>
        <v>10.5</v>
      </c>
      <c r="D203" s="119" t="str">
        <f>IFERROR(__xludf.DUMMYFUNCTION("""COMPUTED_VALUE"""),"Completed")</f>
        <v>Completed</v>
      </c>
      <c r="E203" s="115">
        <f>IFERROR(__xludf.DUMMYFUNCTION("IMPORTRANGE(""https://docs.google.com/spreadsheets/d/1BvrF37JbiL-Pl3SDSdDATSHJNApQw7RcelqF9OZZ_kQ/edit?gid=0#gid=0"",""Project details!B12"")"),683613.0)</f>
        <v>683613</v>
      </c>
      <c r="F203" s="115">
        <f>IFERROR(__xludf.DUMMYFUNCTION("IMPORTRANGE(""https://docs.google.com/spreadsheets/d/1BvrF37JbiL-Pl3SDSdDATSHJNApQw7RcelqF9OZZ_kQ/edit?gid=0#gid=0"",""Project details!B13"")"),456060.74799999996)</f>
        <v>456060.748</v>
      </c>
      <c r="G203" s="116">
        <f>IFERROR(__xludf.DUMMYFUNCTION("IMPORTRANGE(""https://docs.google.com/spreadsheets/d/1BvrF37JbiL-Pl3SDSdDATSHJNApQw7RcelqF9OZZ_kQ/edit?gid=0#gid=0"",""Project details!D12"")"),0.1)</f>
        <v>0.1</v>
      </c>
      <c r="H203" s="116">
        <f>IFERROR(__xludf.DUMMYFUNCTION("IMPORTRANGE(""https://docs.google.com/spreadsheets/d/1BvrF37JbiL-Pl3SDSdDATSHJNApQw7RcelqF9OZZ_kQ/edit?gid=0#gid=0"",""Project details!D13"")"),0.33286706367491553)</f>
        <v>0.3328670637</v>
      </c>
      <c r="I203" s="118">
        <v>2025.0</v>
      </c>
      <c r="J203" s="115">
        <f t="shared" si="16"/>
        <v>227552.252</v>
      </c>
    </row>
    <row r="204">
      <c r="A204" s="88">
        <f>IFERROR(__xludf.DUMMYFUNCTION("""COMPUTED_VALUE"""),203.0)</f>
        <v>203</v>
      </c>
      <c r="B204" s="109" t="str">
        <f>IFERROR(__xludf.DUMMYFUNCTION("""COMPUTED_VALUE"""),"Mr.Rajan Babu")</f>
        <v>Mr.Rajan Babu</v>
      </c>
      <c r="C204" s="88">
        <f>IFERROR(__xludf.DUMMYFUNCTION("""COMPUTED_VALUE"""),6.6)</f>
        <v>6.6</v>
      </c>
      <c r="D204" s="119" t="str">
        <f>IFERROR(__xludf.DUMMYFUNCTION("""COMPUTED_VALUE"""),"Completed")</f>
        <v>Completed</v>
      </c>
      <c r="E204" s="115">
        <f>IFERROR(__xludf.DUMMYFUNCTION("IMPORTRANGE(""https://docs.google.com/spreadsheets/d/1QCMG0V-EHOv7hwccXU46bes-IhV-_Fi5GPzN3y9OGGA/edit?gid=0#gid=0"",""Project details!B12"")"),437266.0)</f>
        <v>437266</v>
      </c>
      <c r="F204" s="115">
        <f>IFERROR(__xludf.DUMMYFUNCTION("IMPORTRANGE(""https://docs.google.com/spreadsheets/d/1QCMG0V-EHOv7hwccXU46bes-IhV-_Fi5GPzN3y9OGGA/edit?gid=0#gid=0"",""Project details!B13"")"),332728.88)</f>
        <v>332728.88</v>
      </c>
      <c r="G204" s="116">
        <f>IFERROR(__xludf.DUMMYFUNCTION("IMPORTRANGE(""https://docs.google.com/spreadsheets/d/1QCMG0V-EHOv7hwccXU46bes-IhV-_Fi5GPzN3y9OGGA/edit?gid=0#gid=0"",""Project details!D12"")"),0.1)</f>
        <v>0.1</v>
      </c>
      <c r="H204" s="116">
        <f>IFERROR(__xludf.DUMMYFUNCTION("IMPORTRANGE(""https://docs.google.com/spreadsheets/d/1QCMG0V-EHOv7hwccXU46bes-IhV-_Fi5GPzN3y9OGGA/edit?gid=0#gid=0"",""Project details!D13"")"),0.2390698567919756)</f>
        <v>0.2390698568</v>
      </c>
      <c r="I204" s="118">
        <v>2025.0</v>
      </c>
      <c r="J204" s="115">
        <f t="shared" si="16"/>
        <v>104537.12</v>
      </c>
    </row>
    <row r="205">
      <c r="A205" s="88">
        <f>IFERROR(__xludf.DUMMYFUNCTION("""COMPUTED_VALUE"""),204.0)</f>
        <v>204</v>
      </c>
      <c r="B205" s="109" t="str">
        <f>IFERROR(__xludf.DUMMYFUNCTION("""COMPUTED_VALUE"""),"Ramaniyam Sankaram")</f>
        <v>Ramaniyam Sankaram</v>
      </c>
      <c r="C205" s="88">
        <f>IFERROR(__xludf.DUMMYFUNCTION("""COMPUTED_VALUE"""),4.4)</f>
        <v>4.4</v>
      </c>
      <c r="D205" s="119" t="str">
        <f>IFERROR(__xludf.DUMMYFUNCTION("""COMPUTED_VALUE"""),"Completed")</f>
        <v>Completed</v>
      </c>
      <c r="E205" s="115">
        <f>IFERROR(__xludf.DUMMYFUNCTION("IMPORTRANGE(""https://docs.google.com/spreadsheets/d/1P-iT1DFoGKnZqnN9VyOyAA_nofdKHauS70uuVxMiVD8/edit?gid=0#gid=0"",""Project details!B12"")"),224989.0)</f>
        <v>224989</v>
      </c>
      <c r="F205" s="115">
        <f>IFERROR(__xludf.DUMMYFUNCTION("IMPORTRANGE(""https://docs.google.com/spreadsheets/d/1P-iT1DFoGKnZqnN9VyOyAA_nofdKHauS70uuVxMiVD8/edit?gid=0#gid=0"",""Project details!B13"")"),134826.56)</f>
        <v>134826.56</v>
      </c>
      <c r="G205" s="116">
        <f>IFERROR(__xludf.DUMMYFUNCTION("IMPORTRANGE(""https://docs.google.com/spreadsheets/d/1P-iT1DFoGKnZqnN9VyOyAA_nofdKHauS70uuVxMiVD8/edit?gid=0#gid=0"",""Project details!D12"")"),0.1)</f>
        <v>0.1</v>
      </c>
      <c r="H205" s="116">
        <f>IFERROR(__xludf.DUMMYFUNCTION("IMPORTRANGE(""https://docs.google.com/spreadsheets/d/1P-iT1DFoGKnZqnN9VyOyAA_nofdKHauS70uuVxMiVD8/edit?gid=0#gid=0"",""Project details!D13"")"),0.4007415473645378)</f>
        <v>0.4007415474</v>
      </c>
      <c r="I205" s="118">
        <v>2025.0</v>
      </c>
      <c r="J205" s="115">
        <f t="shared" si="16"/>
        <v>90162.44</v>
      </c>
    </row>
    <row r="206">
      <c r="A206" s="88">
        <f>IFERROR(__xludf.DUMMYFUNCTION("""COMPUTED_VALUE"""),205.0)</f>
        <v>205</v>
      </c>
      <c r="B206" s="109" t="str">
        <f>IFERROR(__xludf.DUMMYFUNCTION("""COMPUTED_VALUE"""),"Mr Raja grn gopal street")</f>
        <v>Mr Raja grn gopal street</v>
      </c>
      <c r="C206" s="88">
        <f>IFERROR(__xludf.DUMMYFUNCTION("""COMPUTED_VALUE"""),10.0)</f>
        <v>10</v>
      </c>
      <c r="D206" s="119" t="str">
        <f>IFERROR(__xludf.DUMMYFUNCTION("""COMPUTED_VALUE"""),"Completed")</f>
        <v>Completed</v>
      </c>
      <c r="E206" s="115">
        <f>IFERROR(__xludf.DUMMYFUNCTION("IMPORTRANGE(""https://docs.google.com/spreadsheets/d/1xNaPLV562H6vedB4ANE4UxgiG3NMHwoHac2hOzAt82w/edit?gid=0#gid=0"",""Project details!B12"")"),770798.0)</f>
        <v>770798</v>
      </c>
      <c r="F206" s="115">
        <f>IFERROR(__xludf.DUMMYFUNCTION("IMPORTRANGE(""https://docs.google.com/spreadsheets/d/1xNaPLV562H6vedB4ANE4UxgiG3NMHwoHac2hOzAt82w/edit?gid=0#gid=0"",""Project details!B13"")"),469616.77)</f>
        <v>469616.77</v>
      </c>
      <c r="G206" s="116">
        <f>IFERROR(__xludf.DUMMYFUNCTION("IMPORTRANGE(""https://docs.google.com/spreadsheets/d/1xNaPLV562H6vedB4ANE4UxgiG3NMHwoHac2hOzAt82w/edit?gid=0#gid=0"",""Project details!D12"")"),0.1)</f>
        <v>0.1</v>
      </c>
      <c r="H206" s="116">
        <f>IFERROR(__xludf.DUMMYFUNCTION("IMPORTRANGE(""https://docs.google.com/spreadsheets/d/1xNaPLV562H6vedB4ANE4UxgiG3NMHwoHac2hOzAt82w/edit?gid=0#gid=0"",""Project details!D13"")"),0.39073950632980364)</f>
        <v>0.3907395063</v>
      </c>
      <c r="I206" s="118">
        <v>2025.0</v>
      </c>
      <c r="J206" s="115">
        <f t="shared" si="16"/>
        <v>301181.23</v>
      </c>
    </row>
    <row r="207">
      <c r="A207" s="120">
        <f>IFERROR(__xludf.DUMMYFUNCTION("""COMPUTED_VALUE"""),206.0)</f>
        <v>206</v>
      </c>
      <c r="B207" s="109" t="str">
        <f>IFERROR(__xludf.DUMMYFUNCTION("""COMPUTED_VALUE"""),"Mr.Kasinathan")</f>
        <v>Mr.Kasinathan</v>
      </c>
      <c r="C207" s="88">
        <f>IFERROR(__xludf.DUMMYFUNCTION("""COMPUTED_VALUE"""),8.8)</f>
        <v>8.8</v>
      </c>
      <c r="D207" s="119" t="str">
        <f>IFERROR(__xludf.DUMMYFUNCTION("""COMPUTED_VALUE"""),"Completed")</f>
        <v>Completed</v>
      </c>
      <c r="E207" s="115">
        <f>IFERROR(__xludf.DUMMYFUNCTION("IMPORTRANGE(""https://docs.google.com/spreadsheets/d/1iVuyLBKQW6r_LSMUMVvWnR80i2vTb90QtGksBA9fLUg/edit?gid=0#gid=0"",""Project details!B12"")"),568711.0)</f>
        <v>568711</v>
      </c>
      <c r="F207" s="115">
        <f>IFERROR(__xludf.DUMMYFUNCTION("IMPORTRANGE(""https://docs.google.com/spreadsheets/d/1iVuyLBKQW6r_LSMUMVvWnR80i2vTb90QtGksBA9fLUg/edit?gid=0#gid=0"",""Project details!B13"")"),397141.63)</f>
        <v>397141.63</v>
      </c>
      <c r="G207" s="116">
        <f>IFERROR(__xludf.DUMMYFUNCTION("IMPORTRANGE(""https://docs.google.com/spreadsheets/d/1iVuyLBKQW6r_LSMUMVvWnR80i2vTb90QtGksBA9fLUg/edit?gid=0#gid=0"",""Project details!D12"")"),0.1)</f>
        <v>0.1</v>
      </c>
      <c r="H207" s="116">
        <f>IFERROR(__xludf.DUMMYFUNCTION("IMPORTRANGE(""https://docs.google.com/spreadsheets/d/1iVuyLBKQW6r_LSMUMVvWnR80i2vTb90QtGksBA9fLUg/edit?gid=0#gid=0"",""Project details!D13"")"),0.301681117474429)</f>
        <v>0.3016811175</v>
      </c>
      <c r="I207" s="118">
        <v>2025.0</v>
      </c>
      <c r="J207" s="115">
        <f t="shared" si="16"/>
        <v>171569.37</v>
      </c>
    </row>
    <row r="208">
      <c r="A208" s="120">
        <f>IFERROR(__xludf.DUMMYFUNCTION("""COMPUTED_VALUE"""),207.0)</f>
        <v>207</v>
      </c>
      <c r="B208" s="88" t="str">
        <f>IFERROR(__xludf.DUMMYFUNCTION("""COMPUTED_VALUE"""),"Newry Adora")</f>
        <v>Newry Adora</v>
      </c>
      <c r="C208" s="88">
        <f>IFERROR(__xludf.DUMMYFUNCTION("""COMPUTED_VALUE"""),20.0)</f>
        <v>20</v>
      </c>
      <c r="D208" s="119" t="str">
        <f>IFERROR(__xludf.DUMMYFUNCTION("""COMPUTED_VALUE"""),"Holding from client")</f>
        <v>Holding from client</v>
      </c>
      <c r="E208" s="115">
        <f>IFERROR(__xludf.DUMMYFUNCTION("IMPORTRANGE(""https://docs.google.com/spreadsheets/d/1wHONxnyp9e-YeS882uKX1j6ZV_G_LgcQ8oXayTAfO4A/edit?gid=0#gid=0"",""Project details!B12"")"),800788.0)</f>
        <v>800788</v>
      </c>
      <c r="F208" s="115">
        <f>IFERROR(__xludf.DUMMYFUNCTION("IMPORTRANGE(""https://docs.google.com/spreadsheets/d/1wHONxnyp9e-YeS882uKX1j6ZV_G_LgcQ8oXayTAfO4A/edit?gid=0#gid=0"",""Project details!B13"")"),573729.0)</f>
        <v>573729</v>
      </c>
      <c r="G208" s="116">
        <f>IFERROR(__xludf.DUMMYFUNCTION("IMPORTRANGE(""https://docs.google.com/spreadsheets/d/1wHONxnyp9e-YeS882uKX1j6ZV_G_LgcQ8oXayTAfO4A/edit?gid=0#gid=0"",""Project details!D12"")"),0.15)</f>
        <v>0.15</v>
      </c>
      <c r="H208" s="116">
        <f>IFERROR(__xludf.DUMMYFUNCTION("IMPORTRANGE(""https://docs.google.com/spreadsheets/d/1wHONxnyp9e-YeS882uKX1j6ZV_G_LgcQ8oXayTAfO4A/edit?gid=0#gid=0"",""Project details!D13"")"),0.28354445870817246)</f>
        <v>0.2835444587</v>
      </c>
      <c r="I208" s="118">
        <v>2025.0</v>
      </c>
      <c r="J208" s="115">
        <f t="shared" si="16"/>
        <v>227059</v>
      </c>
    </row>
    <row r="209">
      <c r="A209" s="88">
        <f>IFERROR(__xludf.DUMMYFUNCTION("""COMPUTED_VALUE"""),208.0)</f>
        <v>208</v>
      </c>
      <c r="B209" s="88" t="str">
        <f>IFERROR(__xludf.DUMMYFUNCTION("""COMPUTED_VALUE"""),"Lancor Bagya")</f>
        <v>Lancor Bagya</v>
      </c>
      <c r="C209" s="88">
        <f>IFERROR(__xludf.DUMMYFUNCTION("""COMPUTED_VALUE"""),5.0)</f>
        <v>5</v>
      </c>
      <c r="D209" s="119" t="str">
        <f>IFERROR(__xludf.DUMMYFUNCTION("""COMPUTED_VALUE"""),"Holding from client")</f>
        <v>Holding from client</v>
      </c>
      <c r="E209" s="115">
        <f>IFERROR(__xludf.DUMMYFUNCTION("IMPORTRANGE(""https://docs.google.com/spreadsheets/d/1J_1glrJn3_Dj8l66xzb-o2A013LWteEQIz0zCHQfddQ/edit?gid=0#gid=0"",""Project details!B12"")"),238958.0)</f>
        <v>238958</v>
      </c>
      <c r="F209" s="115">
        <f>IFERROR(__xludf.DUMMYFUNCTION("IMPORTRANGE(""https://docs.google.com/spreadsheets/d/1J_1glrJn3_Dj8l66xzb-o2A013LWteEQIz0zCHQfddQ/edit?gid=0#gid=0"",""Project details!B13"")"),275458.4)</f>
        <v>275458.4</v>
      </c>
      <c r="G209" s="116">
        <f>IFERROR(__xludf.DUMMYFUNCTION("IMPORTRANGE(""https://docs.google.com/spreadsheets/d/1J_1glrJn3_Dj8l66xzb-o2A013LWteEQIz0zCHQfddQ/edit?gid=0#gid=0"",""Project details!D12"")"),0.1)</f>
        <v>0.1</v>
      </c>
      <c r="H209" s="116">
        <f>IFERROR(__xludf.DUMMYFUNCTION("IMPORTRANGE(""https://docs.google.com/spreadsheets/d/1J_1glrJn3_Dj8l66xzb-o2A013LWteEQIz0zCHQfddQ/edit?gid=0#gid=0"",""Project details!D13"")"),-0.15274818168883245)</f>
        <v>-0.1527481817</v>
      </c>
      <c r="I209" s="118">
        <v>2025.0</v>
      </c>
      <c r="J209" s="115">
        <f t="shared" si="16"/>
        <v>-36500.4</v>
      </c>
    </row>
    <row r="210">
      <c r="A210" s="88">
        <f>IFERROR(__xludf.DUMMYFUNCTION("""COMPUTED_VALUE"""),209.0)</f>
        <v>209</v>
      </c>
      <c r="B210" s="88" t="str">
        <f>IFERROR(__xludf.DUMMYFUNCTION("""COMPUTED_VALUE"""),"Lancor Ananda")</f>
        <v>Lancor Ananda</v>
      </c>
      <c r="C210" s="88">
        <f>IFERROR(__xludf.DUMMYFUNCTION("""COMPUTED_VALUE"""),5.0)</f>
        <v>5</v>
      </c>
      <c r="D210" s="119" t="str">
        <f>IFERROR(__xludf.DUMMYFUNCTION("""COMPUTED_VALUE"""),"Waiting for Net Meter")</f>
        <v>Waiting for Net Meter</v>
      </c>
      <c r="E210" s="115">
        <f>IFERROR(__xludf.DUMMYFUNCTION("IMPORTRANGE(""https://docs.google.com/spreadsheets/d/1M8Ypf-fV9BDkmJk53UbO_HIPftINocK97Xn5_6L7tUw/edit?gid=0#gid=0"",""Project details!B12"")"),238958.0)</f>
        <v>238958</v>
      </c>
      <c r="F210" s="115">
        <f>IFERROR(__xludf.DUMMYFUNCTION("IMPORTRANGE(""https://docs.google.com/spreadsheets/d/1M8Ypf-fV9BDkmJk53UbO_HIPftINocK97Xn5_6L7tUw/edit?gid=0#gid=0"",""Project details!B13"")"),199164.75999999998)</f>
        <v>199164.76</v>
      </c>
      <c r="G210" s="116">
        <f>IFERROR(__xludf.DUMMYFUNCTION("IMPORTRANGE(""https://docs.google.com/spreadsheets/d/1M8Ypf-fV9BDkmJk53UbO_HIPftINocK97Xn5_6L7tUw/edit?gid=0#gid=0"",""Project details!D12"")"),0.1)</f>
        <v>0.1</v>
      </c>
      <c r="H210" s="116">
        <f>IFERROR(__xludf.DUMMYFUNCTION("IMPORTRANGE(""https://docs.google.com/spreadsheets/d/1M8Ypf-fV9BDkmJk53UbO_HIPftINocK97Xn5_6L7tUw/edit?gid=0#gid=0"",""Project details!D13"")"),0.166528176499636)</f>
        <v>0.1665281765</v>
      </c>
      <c r="I210" s="118">
        <v>2025.0</v>
      </c>
      <c r="J210" s="115">
        <f t="shared" si="16"/>
        <v>39793.24</v>
      </c>
    </row>
    <row r="211">
      <c r="A211" s="120">
        <f>IFERROR(__xludf.DUMMYFUNCTION("""COMPUTED_VALUE"""),210.0)</f>
        <v>210</v>
      </c>
      <c r="B211" s="120" t="str">
        <f>IFERROR(__xludf.DUMMYFUNCTION("""COMPUTED_VALUE"""),"Mr Jeyakumar")</f>
        <v>Mr Jeyakumar</v>
      </c>
      <c r="C211" s="88">
        <f>IFERROR(__xludf.DUMMYFUNCTION("""COMPUTED_VALUE"""),4.8)</f>
        <v>4.8</v>
      </c>
      <c r="D211" s="119" t="str">
        <f>IFERROR(__xludf.DUMMYFUNCTION("""COMPUTED_VALUE"""),"Completed")</f>
        <v>Completed</v>
      </c>
      <c r="E211" s="115">
        <f>IFERROR(__xludf.DUMMYFUNCTION("IMPORTRANGE(""https://docs.google.com/spreadsheets/d/1usyJYZjgvZmnuv6jmSQBRcDEVtfzTOnZIULu2YdCGpo/edit?gid=0#gid=0"",""Project details!B12"")"),325000.0)</f>
        <v>325000</v>
      </c>
      <c r="F211" s="115">
        <f>IFERROR(__xludf.DUMMYFUNCTION("IMPORTRANGE(""https://docs.google.com/spreadsheets/d/1usyJYZjgvZmnuv6jmSQBRcDEVtfzTOnZIULu2YdCGpo/edit?gid=0#gid=0"",""Project details!B13"")"),256168.96)</f>
        <v>256168.96</v>
      </c>
      <c r="G211" s="116">
        <f>IFERROR(__xludf.DUMMYFUNCTION("IMPORTRANGE(""https://docs.google.com/spreadsheets/d/1usyJYZjgvZmnuv6jmSQBRcDEVtfzTOnZIULu2YdCGpo/edit?gid=0#gid=0"",""Project details!D12"")"),0.15)</f>
        <v>0.15</v>
      </c>
      <c r="H211" s="116">
        <f>IFERROR(__xludf.DUMMYFUNCTION("IMPORTRANGE(""https://docs.google.com/spreadsheets/d/1usyJYZjgvZmnuv6jmSQBRcDEVtfzTOnZIULu2YdCGpo/edit?gid=0#gid=0"",""Project details!D13"")"),0.2117878153846154)</f>
        <v>0.2117878154</v>
      </c>
      <c r="I211" s="118">
        <v>2025.0</v>
      </c>
      <c r="J211" s="115">
        <f t="shared" ref="J211:J216" si="17">(E211-F211)</f>
        <v>68831.04</v>
      </c>
    </row>
    <row r="212">
      <c r="A212" s="120">
        <f>IFERROR(__xludf.DUMMYFUNCTION("""COMPUTED_VALUE"""),211.0)</f>
        <v>211</v>
      </c>
      <c r="B212" s="120" t="str">
        <f>IFERROR(__xludf.DUMMYFUNCTION("""COMPUTED_VALUE"""),"Geeyam Suryakantham")</f>
        <v>Geeyam Suryakantham</v>
      </c>
      <c r="C212" s="120">
        <f>IFERROR(__xludf.DUMMYFUNCTION("""COMPUTED_VALUE"""),3.3)</f>
        <v>3.3</v>
      </c>
      <c r="D212" s="119" t="str">
        <f>IFERROR(__xludf.DUMMYFUNCTION("""COMPUTED_VALUE"""),"Completed")</f>
        <v>Completed</v>
      </c>
      <c r="E212" s="115">
        <f>IFERROR(__xludf.DUMMYFUNCTION("IMPORTRANGE(""https://docs.google.com/spreadsheets/d/1hMJ1BWD_mwCTdl1pOU7ike9ZFEnR5FpLc2uJdxR5_0M/edit?gid=0#gid=0"",""Project details!B12"")"),161964.0)</f>
        <v>161964</v>
      </c>
      <c r="F212" s="115">
        <f>IFERROR(__xludf.DUMMYFUNCTION("IMPORTRANGE(""https://docs.google.com/spreadsheets/d/1hMJ1BWD_mwCTdl1pOU7ike9ZFEnR5FpLc2uJdxR5_0M/edit?gid=0#gid=0"",""Project details!B13"")"),104770.456)</f>
        <v>104770.456</v>
      </c>
      <c r="G212" s="116">
        <f>IFERROR(__xludf.DUMMYFUNCTION("IMPORTRANGE(""https://docs.google.com/spreadsheets/d/1hMJ1BWD_mwCTdl1pOU7ike9ZFEnR5FpLc2uJdxR5_0M/edit?gid=0#gid=0"",""Project details!D12"")"),0.1)</f>
        <v>0.1</v>
      </c>
      <c r="H212" s="116">
        <f>IFERROR(__xludf.DUMMYFUNCTION("IMPORTRANGE(""https://docs.google.com/spreadsheets/d/1hMJ1BWD_mwCTdl1pOU7ike9ZFEnR5FpLc2uJdxR5_0M/edit?gid=0#gid=0"",""Project details!D13"")"),0.35312504013237506)</f>
        <v>0.3531250401</v>
      </c>
      <c r="I212" s="118">
        <v>2025.0</v>
      </c>
      <c r="J212" s="115">
        <f t="shared" si="17"/>
        <v>57193.544</v>
      </c>
    </row>
    <row r="213">
      <c r="A213" s="88">
        <f>IFERROR(__xludf.DUMMYFUNCTION("""COMPUTED_VALUE"""),212.0)</f>
        <v>212</v>
      </c>
      <c r="B213" s="120" t="str">
        <f>IFERROR(__xludf.DUMMYFUNCTION("""COMPUTED_VALUE"""),"Geeyam Prasang")</f>
        <v>Geeyam Prasang</v>
      </c>
      <c r="C213" s="120">
        <f>IFERROR(__xludf.DUMMYFUNCTION("""COMPUTED_VALUE"""),4.4)</f>
        <v>4.4</v>
      </c>
      <c r="D213" s="119" t="str">
        <f>IFERROR(__xludf.DUMMYFUNCTION("""COMPUTED_VALUE"""),"Completed")</f>
        <v>Completed</v>
      </c>
      <c r="E213" s="115">
        <f>IFERROR(__xludf.DUMMYFUNCTION("IMPORTRANGE(""https://docs.google.com/spreadsheets/d/1VS_qhSIdDciBJ3gcICCBLVZqBWDZvhFX64YOrI1Inqs/edit?gid=0#gid=0"",""Project details!B12"")"),214916.0)</f>
        <v>214916</v>
      </c>
      <c r="F213" s="115">
        <f>IFERROR(__xludf.DUMMYFUNCTION("IMPORTRANGE(""https://docs.google.com/spreadsheets/d/1VS_qhSIdDciBJ3gcICCBLVZqBWDZvhFX64YOrI1Inqs/edit?gid=0#gid=0"",""Project details!B13"")"),294785.40000000014)</f>
        <v>294785.4</v>
      </c>
      <c r="G213" s="116">
        <f>IFERROR(__xludf.DUMMYFUNCTION("IMPORTRANGE(""https://docs.google.com/spreadsheets/d/1VS_qhSIdDciBJ3gcICCBLVZqBWDZvhFX64YOrI1Inqs/edit?gid=0#gid=0"",""Project details!D12"")"),0.1)</f>
        <v>0.1</v>
      </c>
      <c r="H213" s="116">
        <f>IFERROR(__xludf.DUMMYFUNCTION("IMPORTRANGE(""https://docs.google.com/spreadsheets/d/1VS_qhSIdDciBJ3gcICCBLVZqBWDZvhFX64YOrI1Inqs/edit?gid=0#gid=0"",""Project details!D13"")"),-0.371630776675539)</f>
        <v>-0.3716307767</v>
      </c>
      <c r="I213" s="118">
        <v>2025.0</v>
      </c>
      <c r="J213" s="115">
        <f t="shared" si="17"/>
        <v>-79869.4</v>
      </c>
    </row>
    <row r="214">
      <c r="A214" s="88">
        <f>IFERROR(__xludf.DUMMYFUNCTION("""COMPUTED_VALUE"""),213.0)</f>
        <v>213</v>
      </c>
      <c r="B214" s="120" t="str">
        <f>IFERROR(__xludf.DUMMYFUNCTION("""COMPUTED_VALUE"""),"Mr Saravanan 4 Bricks")</f>
        <v>Mr Saravanan 4 Bricks</v>
      </c>
      <c r="C214" s="120">
        <f>IFERROR(__xludf.DUMMYFUNCTION("""COMPUTED_VALUE"""),3.3)</f>
        <v>3.3</v>
      </c>
      <c r="D214" s="119" t="str">
        <f>IFERROR(__xludf.DUMMYFUNCTION("""COMPUTED_VALUE"""),"Waiting for Net Meter")</f>
        <v>Waiting for Net Meter</v>
      </c>
      <c r="E214" s="115">
        <f>IFERROR(__xludf.DUMMYFUNCTION("IMPORTRANGE(""https://docs.google.com/spreadsheets/d/1_r9aE74w0x_HtRZ2zqYXnjyqCDIMfzEHxQbGWBiIrnE/edit?gid=0#gid=0"",""Project details!B12"")"),174990.0)</f>
        <v>174990</v>
      </c>
      <c r="F214" s="115">
        <f>IFERROR(__xludf.DUMMYFUNCTION("IMPORTRANGE(""https://docs.google.com/spreadsheets/d/1_r9aE74w0x_HtRZ2zqYXnjyqCDIMfzEHxQbGWBiIrnE/edit?gid=0#gid=0"",""Project details!B13"")"),92823.11)</f>
        <v>92823.11</v>
      </c>
      <c r="G214" s="116">
        <f>IFERROR(__xludf.DUMMYFUNCTION("IMPORTRANGE(""https://docs.google.com/spreadsheets/d/1_r9aE74w0x_HtRZ2zqYXnjyqCDIMfzEHxQbGWBiIrnE/edit?gid=0#gid=0"",""Project details!D12"")"),0.1)</f>
        <v>0.1</v>
      </c>
      <c r="H214" s="116">
        <f>IFERROR(__xludf.DUMMYFUNCTION("IMPORTRANGE(""https://docs.google.com/spreadsheets/d/1_r9aE74w0x_HtRZ2zqYXnjyqCDIMfzEHxQbGWBiIrnE/edit?gid=0#gid=0"",""Project details!D13"")"),0.4695519172524144)</f>
        <v>0.4695519173</v>
      </c>
      <c r="I214" s="118">
        <v>2025.0</v>
      </c>
      <c r="J214" s="115">
        <f t="shared" si="17"/>
        <v>82166.89</v>
      </c>
    </row>
    <row r="215">
      <c r="A215" s="88">
        <f>IFERROR(__xludf.DUMMYFUNCTION("""COMPUTED_VALUE"""),214.0)</f>
        <v>214</v>
      </c>
      <c r="B215" s="120" t="str">
        <f>IFERROR(__xludf.DUMMYFUNCTION("""COMPUTED_VALUE"""),"Mr Srinivasan Adyar")</f>
        <v>Mr Srinivasan Adyar</v>
      </c>
      <c r="C215" s="120">
        <f>IFERROR(__xludf.DUMMYFUNCTION("""COMPUTED_VALUE"""),6.0)</f>
        <v>6</v>
      </c>
      <c r="D215" s="119" t="str">
        <f>IFERROR(__xludf.DUMMYFUNCTION("""COMPUTED_VALUE"""),"On Progress")</f>
        <v>On Progress</v>
      </c>
      <c r="E215" s="115">
        <f>IFERROR(__xludf.DUMMYFUNCTION("IMPORTRANGE(""https://docs.google.com/spreadsheets/d/1EnFwccRySs46anaTTXE5cTQUVzrWUGYgF2bo4YvQYhk/edit?gid=0#gid=0"",""Project details!B12"")"),565000.0)</f>
        <v>565000</v>
      </c>
      <c r="F215" s="115">
        <f>IFERROR(__xludf.DUMMYFUNCTION("IMPORTRANGE(""https://docs.google.com/spreadsheets/d/1EnFwccRySs46anaTTXE5cTQUVzrWUGYgF2bo4YvQYhk/edit?gid=0#gid=0"",""Project details!B13"")"),516982.0999999999)</f>
        <v>516982.1</v>
      </c>
      <c r="G215" s="116">
        <f>IFERROR(__xludf.DUMMYFUNCTION("IMPORTRANGE(""https://docs.google.com/spreadsheets/d/1EnFwccRySs46anaTTXE5cTQUVzrWUGYgF2bo4YvQYhk/edit?gid=0#gid=0"",""Project details!D12"")"),0.1)</f>
        <v>0.1</v>
      </c>
      <c r="H215" s="116">
        <f>IFERROR(__xludf.DUMMYFUNCTION("IMPORTRANGE(""https://docs.google.com/spreadsheets/d/1EnFwccRySs46anaTTXE5cTQUVzrWUGYgF2bo4YvQYhk/edit?gid=0#gid=0"",""Project details!D13"")"),0.08498743362831873)</f>
        <v>0.08498743363</v>
      </c>
      <c r="I215" s="118">
        <v>2025.0</v>
      </c>
      <c r="J215" s="115">
        <f t="shared" si="17"/>
        <v>48017.9</v>
      </c>
    </row>
    <row r="216">
      <c r="A216" s="88">
        <f>IFERROR(__xludf.DUMMYFUNCTION("""COMPUTED_VALUE"""),215.0)</f>
        <v>215</v>
      </c>
      <c r="B216" s="120" t="str">
        <f>IFERROR(__xludf.DUMMYFUNCTION("""COMPUTED_VALUE"""),"Mr Nitin")</f>
        <v>Mr Nitin</v>
      </c>
      <c r="C216" s="120">
        <f>IFERROR(__xludf.DUMMYFUNCTION("""COMPUTED_VALUE"""),6.0)</f>
        <v>6</v>
      </c>
      <c r="D216" s="119" t="str">
        <f>IFERROR(__xludf.DUMMYFUNCTION("""COMPUTED_VALUE"""),"Completed")</f>
        <v>Completed</v>
      </c>
      <c r="E216" s="115">
        <f>IFERROR(__xludf.DUMMYFUNCTION("IMPORTRANGE(""https://docs.google.com/spreadsheets/d/1JYWQv4iNwGrQ0gwEbd9swO4hgQVirdP6PeI1GZocajM/edit?gid=0#gid=0"",""Project details!B12"")"),400000.0)</f>
        <v>400000</v>
      </c>
      <c r="F216" s="115">
        <f>IFERROR(__xludf.DUMMYFUNCTION("IMPORTRANGE(""https://docs.google.com/spreadsheets/d/1JYWQv4iNwGrQ0gwEbd9swO4hgQVirdP6PeI1GZocajM/edit?gid=0#gid=0"",""Project details!B13"")"),331811.54000000004)</f>
        <v>331811.54</v>
      </c>
      <c r="G216" s="116">
        <f>IFERROR(__xludf.DUMMYFUNCTION("IMPORTRANGE(""https://docs.google.com/spreadsheets/d/1JYWQv4iNwGrQ0gwEbd9swO4hgQVirdP6PeI1GZocajM/edit?gid=0#gid=0"",""Project details!D12"")"),0.1)</f>
        <v>0.1</v>
      </c>
      <c r="H216" s="116">
        <f>IFERROR(__xludf.DUMMYFUNCTION("IMPORTRANGE(""https://docs.google.com/spreadsheets/d/1JYWQv4iNwGrQ0gwEbd9swO4hgQVirdP6PeI1GZocajM/edit?gid=0#gid=0"",""Project details!D13"")"),0.1704711499999999)</f>
        <v>0.17047115</v>
      </c>
      <c r="I216" s="118">
        <v>2025.0</v>
      </c>
      <c r="J216" s="115">
        <f t="shared" si="17"/>
        <v>68188.46</v>
      </c>
    </row>
    <row r="217">
      <c r="A217" s="88">
        <f>IFERROR(__xludf.DUMMYFUNCTION("""COMPUTED_VALUE"""),216.0)</f>
        <v>216</v>
      </c>
      <c r="B217" s="120" t="str">
        <f>IFERROR(__xludf.DUMMYFUNCTION("""COMPUTED_VALUE"""),"Khurinji's the Orchid")</f>
        <v>Khurinji's the Orchid</v>
      </c>
      <c r="C217" s="120">
        <f>IFERROR(__xludf.DUMMYFUNCTION("""COMPUTED_VALUE"""),5.0)</f>
        <v>5</v>
      </c>
      <c r="D217" s="119" t="str">
        <f>IFERROR(__xludf.DUMMYFUNCTION("""COMPUTED_VALUE"""),"Completed")</f>
        <v>Completed</v>
      </c>
      <c r="E217" s="115">
        <f>IFERROR(__xludf.DUMMYFUNCTION("IMPORTRANGE(""https://docs.google.com/spreadsheets/d/1dhCXZSrsVnAqePG55iTTjsmWIF09mg012qeNvb3L4sk/edit?gid=0#gid=0"",""Project details!B12"")"),288905.0)</f>
        <v>288905</v>
      </c>
      <c r="F217" s="115">
        <f>IFERROR(__xludf.DUMMYFUNCTION("IMPORTRANGE(""https://docs.google.com/spreadsheets/d/1dhCXZSrsVnAqePG55iTTjsmWIF09mg012qeNvb3L4sk/edit?gid=0#gid=0"",""Project details!B13"")"),209183.15)</f>
        <v>209183.15</v>
      </c>
      <c r="G217" s="116">
        <f>IFERROR(__xludf.DUMMYFUNCTION("IMPORTRANGE(""https://docs.google.com/spreadsheets/d/1dhCXZSrsVnAqePG55iTTjsmWIF09mg012qeNvb3L4sk/edit?gid=0#gid=0"",""Project details!D12"")"),0.15)</f>
        <v>0.15</v>
      </c>
      <c r="H217" s="116">
        <f>IFERROR(__xludf.DUMMYFUNCTION("IMPORTRANGE(""https://docs.google.com/spreadsheets/d/1dhCXZSrsVnAqePG55iTTjsmWIF09mg012qeNvb3L4sk/edit?gid=0#gid=0"",""Project details!D13"")"),0.2759448607673803)</f>
        <v>0.2759448608</v>
      </c>
      <c r="I217" s="118">
        <v>2025.0</v>
      </c>
      <c r="J217" s="115">
        <f t="shared" ref="J217:J222" si="18">E217-F217</f>
        <v>79721.85</v>
      </c>
    </row>
    <row r="218">
      <c r="A218" s="120">
        <f>IFERROR(__xludf.DUMMYFUNCTION("""COMPUTED_VALUE"""),217.0)</f>
        <v>217</v>
      </c>
      <c r="B218" s="120" t="str">
        <f>IFERROR(__xludf.DUMMYFUNCTION("""COMPUTED_VALUE"""),"Ramaniyam Rangavilasam")</f>
        <v>Ramaniyam Rangavilasam</v>
      </c>
      <c r="C218" s="120">
        <f>IFERROR(__xludf.DUMMYFUNCTION("""COMPUTED_VALUE"""),3.3)</f>
        <v>3.3</v>
      </c>
      <c r="D218" s="119" t="str">
        <f>IFERROR(__xludf.DUMMYFUNCTION("""COMPUTED_VALUE"""),"Completed")</f>
        <v>Completed</v>
      </c>
      <c r="E218" s="115">
        <f>IFERROR(__xludf.DUMMYFUNCTION("IMPORTRANGE(""https://docs.google.com/spreadsheets/d/1-XsaAzgFsqBOdonM8HgqCvmL5ZOt9cIhxkog8-NY-Q8/edit?gid=0#gid=0"",""Project details!B12"")"),224989.0)</f>
        <v>224989</v>
      </c>
      <c r="F218" s="115">
        <f>IFERROR(__xludf.DUMMYFUNCTION("IMPORTRANGE(""https://docs.google.com/spreadsheets/d/1-XsaAzgFsqBOdonM8HgqCvmL5ZOt9cIhxkog8-NY-Q8/edit?gid=0#gid=0"",""Project details!B13"")"),149587.05)</f>
        <v>149587.05</v>
      </c>
      <c r="G218" s="116">
        <f>IFERROR(__xludf.DUMMYFUNCTION("IMPORTRANGE(""https://docs.google.com/spreadsheets/d/1-XsaAzgFsqBOdonM8HgqCvmL5ZOt9cIhxkog8-NY-Q8/edit?gid=0#gid=0"",""Project details!D12"")"),0.15)</f>
        <v>0.15</v>
      </c>
      <c r="H218" s="116">
        <f>IFERROR(__xludf.DUMMYFUNCTION("IMPORTRANGE(""https://docs.google.com/spreadsheets/d/1-XsaAzgFsqBOdonM8HgqCvmL5ZOt9cIhxkog8-NY-Q8/edit?gid=0#gid=0"",""Project details!D13"")"),0.33513616221237486)</f>
        <v>0.3351361622</v>
      </c>
      <c r="I218" s="118">
        <v>2025.0</v>
      </c>
      <c r="J218" s="115">
        <f t="shared" si="18"/>
        <v>75401.95</v>
      </c>
    </row>
    <row r="219">
      <c r="A219" s="120">
        <f>IFERROR(__xludf.DUMMYFUNCTION("""COMPUTED_VALUE"""),218.0)</f>
        <v>218</v>
      </c>
      <c r="B219" s="120" t="str">
        <f>IFERROR(__xludf.DUMMYFUNCTION("""COMPUTED_VALUE"""),"VM Builder")</f>
        <v>VM Builder</v>
      </c>
      <c r="C219" s="120">
        <f>IFERROR(__xludf.DUMMYFUNCTION("""COMPUTED_VALUE"""),5.0)</f>
        <v>5</v>
      </c>
      <c r="D219" s="119" t="str">
        <f>IFERROR(__xludf.DUMMYFUNCTION("""COMPUTED_VALUE"""),"Completed")</f>
        <v>Completed</v>
      </c>
      <c r="E219" s="115">
        <f>IFERROR(__xludf.DUMMYFUNCTION("IMPORTRANGE(""https://docs.google.com/spreadsheets/d/1yFga_E0LjjGd2kVZeFpqo1RYlSaVfaxoIMDvng95Kt8/edit?gid=0#gid=0"",""Project details!B12"")"),340000.0)</f>
        <v>340000</v>
      </c>
      <c r="F219" s="115">
        <f>IFERROR(__xludf.DUMMYFUNCTION("IMPORTRANGE(""https://docs.google.com/spreadsheets/d/1yFga_E0LjjGd2kVZeFpqo1RYlSaVfaxoIMDvng95Kt8/edit?gid=0#gid=0"",""Project details!B13"")"),264792.32000000007)</f>
        <v>264792.32</v>
      </c>
      <c r="G219" s="116">
        <f>IFERROR(__xludf.DUMMYFUNCTION("IMPORTRANGE(""https://docs.google.com/spreadsheets/d/1yFga_E0LjjGd2kVZeFpqo1RYlSaVfaxoIMDvng95Kt8/edit?gid=0#gid=0"",""Project details!D12"")"),0.14)</f>
        <v>0.14</v>
      </c>
      <c r="H219" s="116">
        <f>IFERROR(__xludf.DUMMYFUNCTION("IMPORTRANGE(""https://docs.google.com/spreadsheets/d/1yFga_E0LjjGd2kVZeFpqo1RYlSaVfaxoIMDvng95Kt8/edit?gid=0#gid=0"",""Project details!D13"")"),0.22119905882352922)</f>
        <v>0.2211990588</v>
      </c>
      <c r="I219" s="118">
        <v>2025.0</v>
      </c>
      <c r="J219" s="115">
        <f t="shared" si="18"/>
        <v>75207.68</v>
      </c>
    </row>
    <row r="220">
      <c r="A220" s="88">
        <f>IFERROR(__xludf.DUMMYFUNCTION("""COMPUTED_VALUE"""),219.0)</f>
        <v>219</v>
      </c>
      <c r="B220" s="120" t="str">
        <f>IFERROR(__xludf.DUMMYFUNCTION("""COMPUTED_VALUE"""),"Shankaran - Shree Viruksha")</f>
        <v>Shankaran - Shree Viruksha</v>
      </c>
      <c r="C220" s="120">
        <f>IFERROR(__xludf.DUMMYFUNCTION("""COMPUTED_VALUE"""),8.0)</f>
        <v>8</v>
      </c>
      <c r="D220" s="119" t="str">
        <f>IFERROR(__xludf.DUMMYFUNCTION("""COMPUTED_VALUE"""),"Waiting for Net Meter")</f>
        <v>Waiting for Net Meter</v>
      </c>
      <c r="E220" s="115">
        <f>IFERROR(__xludf.DUMMYFUNCTION("IMPORTRANGE(""https://docs.google.com/spreadsheets/d/1N9Mg5PWL5ivS5NDMyjRn5pLRFYhPWBAJ8qm-c_-F2kw/edit?gid=0#gid=0"",""Project details!B12"")"),642640.0)</f>
        <v>642640</v>
      </c>
      <c r="F220" s="115">
        <f>IFERROR(__xludf.DUMMYFUNCTION("IMPORTRANGE(""https://docs.google.com/spreadsheets/d/1N9Mg5PWL5ivS5NDMyjRn5pLRFYhPWBAJ8qm-c_-F2kw/edit?gid=0#gid=0"",""Project details!B13"")"),454863.29999999993)</f>
        <v>454863.3</v>
      </c>
      <c r="G220" s="116">
        <f>IFERROR(__xludf.DUMMYFUNCTION("IMPORTRANGE(""https://docs.google.com/spreadsheets/d/1N9Mg5PWL5ivS5NDMyjRn5pLRFYhPWBAJ8qm-c_-F2kw/edit?gid=0#gid=0"",""Project details!D12"")"),0.15)</f>
        <v>0.15</v>
      </c>
      <c r="H220" s="116">
        <f>IFERROR(__xludf.DUMMYFUNCTION("IMPORTRANGE(""https://docs.google.com/spreadsheets/d/1N9Mg5PWL5ivS5NDMyjRn5pLRFYhPWBAJ8qm-c_-F2kw/edit?gid=0#gid=0"",""Project details!D13"")"),0.29219578613220476)</f>
        <v>0.2921957861</v>
      </c>
      <c r="I220" s="118">
        <v>2025.0</v>
      </c>
      <c r="J220" s="115">
        <f t="shared" si="18"/>
        <v>187776.7</v>
      </c>
    </row>
    <row r="221">
      <c r="A221" s="88">
        <f>IFERROR(__xludf.DUMMYFUNCTION("""COMPUTED_VALUE"""),220.0)</f>
        <v>220</v>
      </c>
      <c r="B221" s="120" t="str">
        <f>IFERROR(__xludf.DUMMYFUNCTION("""COMPUTED_VALUE"""),"Ramaniyam Gayathri")</f>
        <v>Ramaniyam Gayathri</v>
      </c>
      <c r="C221" s="120">
        <f>IFERROR(__xludf.DUMMYFUNCTION("""COMPUTED_VALUE"""),5.4)</f>
        <v>5.4</v>
      </c>
      <c r="D221" s="119" t="str">
        <f>IFERROR(__xludf.DUMMYFUNCTION("""COMPUTED_VALUE"""),"Completed")</f>
        <v>Completed</v>
      </c>
      <c r="E221" s="115">
        <f>IFERROR(__xludf.DUMMYFUNCTION("IMPORTRANGE(""https://docs.google.com/spreadsheets/d/10Ct_uU_pfMzW89t-pIeBWoRq0hFOgyrpFWw8mUEyj5M/edit?gid=0#gid=0"",""Project details!B12"")"),274753.0)</f>
        <v>274753</v>
      </c>
      <c r="F221" s="115">
        <f>IFERROR(__xludf.DUMMYFUNCTION("IMPORTRANGE(""https://docs.google.com/spreadsheets/d/10Ct_uU_pfMzW89t-pIeBWoRq0hFOgyrpFWw8mUEyj5M/edit?gid=0#gid=0"",""Project details!B13"")"),174912.03999999995)</f>
        <v>174912.04</v>
      </c>
      <c r="G221" s="116">
        <f>IFERROR(__xludf.DUMMYFUNCTION("IMPORTRANGE(""https://docs.google.com/spreadsheets/d/10Ct_uU_pfMzW89t-pIeBWoRq0hFOgyrpFWw8mUEyj5M/edit?gid=0#gid=0"",""Project details!D12"")"),0.15)</f>
        <v>0.15</v>
      </c>
      <c r="H221" s="116">
        <f>IFERROR(__xludf.DUMMYFUNCTION("IMPORTRANGE(""https://docs.google.com/spreadsheets/d/10Ct_uU_pfMzW89t-pIeBWoRq0hFOgyrpFWw8mUEyj5M/edit?gid=0#gid=0"",""Project details!D13"")"),0.36338442164416784)</f>
        <v>0.3633844216</v>
      </c>
      <c r="I221" s="118">
        <v>2025.0</v>
      </c>
      <c r="J221" s="115">
        <f t="shared" si="18"/>
        <v>99840.96</v>
      </c>
    </row>
    <row r="222">
      <c r="A222" s="120">
        <f>IFERROR(__xludf.DUMMYFUNCTION("""COMPUTED_VALUE"""),221.0)</f>
        <v>221</v>
      </c>
      <c r="B222" s="120" t="str">
        <f>IFERROR(__xludf.DUMMYFUNCTION("""COMPUTED_VALUE"""),"Ramaniyam Manasa")</f>
        <v>Ramaniyam Manasa</v>
      </c>
      <c r="C222" s="120">
        <f>IFERROR(__xludf.DUMMYFUNCTION("""COMPUTED_VALUE"""),9.8)</f>
        <v>9.8</v>
      </c>
      <c r="D222" s="119" t="str">
        <f>IFERROR(__xludf.DUMMYFUNCTION("""COMPUTED_VALUE"""),"Waiting for Net Meter")</f>
        <v>Waiting for Net Meter</v>
      </c>
      <c r="E222" s="115">
        <f>IFERROR(__xludf.DUMMYFUNCTION("IMPORTRANGE(""https://docs.google.com/spreadsheets/d/1WjU_rbtn8kBixftwbm9pLRP8baVQhjrYLVwuQ13_YwA/edit?gid=0#gid=0"",""Project details!B12"")"),456419.0)</f>
        <v>456419</v>
      </c>
      <c r="F222" s="115">
        <f>IFERROR(__xludf.DUMMYFUNCTION("IMPORTRANGE(""https://docs.google.com/spreadsheets/d/1WjU_rbtn8kBixftwbm9pLRP8baVQhjrYLVwuQ13_YwA/edit?gid=0#gid=0"",""Project details!B13"")"),272022.3320000001)</f>
        <v>272022.332</v>
      </c>
      <c r="G222" s="116">
        <f>IFERROR(__xludf.DUMMYFUNCTION("IMPORTRANGE(""https://docs.google.com/spreadsheets/d/1WjU_rbtn8kBixftwbm9pLRP8baVQhjrYLVwuQ13_YwA/edit?gid=0#gid=0"",""Project details!D12"")"),0.15)</f>
        <v>0.15</v>
      </c>
      <c r="H222" s="116">
        <f>IFERROR(__xludf.DUMMYFUNCTION("IMPORTRANGE(""https://docs.google.com/spreadsheets/d/1WjU_rbtn8kBixftwbm9pLRP8baVQhjrYLVwuQ13_YwA/edit?gid=0#gid=0"",""Project details!D13"")"),0.4040074317677395)</f>
        <v>0.4040074318</v>
      </c>
      <c r="I222" s="118">
        <v>2025.0</v>
      </c>
      <c r="J222" s="115">
        <f t="shared" si="18"/>
        <v>184396.668</v>
      </c>
    </row>
    <row r="223">
      <c r="A223" s="120">
        <f>IFERROR(__xludf.DUMMYFUNCTION("""COMPUTED_VALUE"""),222.0)</f>
        <v>222</v>
      </c>
      <c r="B223" s="120" t="str">
        <f>IFERROR(__xludf.DUMMYFUNCTION("""COMPUTED_VALUE"""),"Swarnalatha")</f>
        <v>Swarnalatha</v>
      </c>
      <c r="C223" s="120">
        <f>IFERROR(__xludf.DUMMYFUNCTION("""COMPUTED_VALUE"""),4.3)</f>
        <v>4.3</v>
      </c>
      <c r="D223" s="119" t="str">
        <f>IFERROR(__xludf.DUMMYFUNCTION("""COMPUTED_VALUE"""),"Completed")</f>
        <v>Completed</v>
      </c>
      <c r="E223" s="115">
        <f>IFERROR(__xludf.DUMMYFUNCTION("IMPORTRANGE(""https://docs.google.com/spreadsheets/d/1CeyuQDpdfYHk3UwO3UzGBWyS3P2NqO_3ETxTgL_MaRI/edit?gid=0#gid=0"",""Project details!B12"")"),260000.0)</f>
        <v>260000</v>
      </c>
      <c r="F223" s="115">
        <f>IFERROR(__xludf.DUMMYFUNCTION("IMPORTRANGE(""https://docs.google.com/spreadsheets/d/1CeyuQDpdfYHk3UwO3UzGBWyS3P2NqO_3ETxTgL_MaRI/edit?gid=0#gid=0"",""Project details!B13"")"),215968.25)</f>
        <v>215968.25</v>
      </c>
      <c r="G223" s="116">
        <f>IFERROR(__xludf.DUMMYFUNCTION("IMPORTRANGE(""https://docs.google.com/spreadsheets/d/1CeyuQDpdfYHk3UwO3UzGBWyS3P2NqO_3ETxTgL_MaRI/edit?gid=0#gid=0"",""Project details!D12"")"),0.15)</f>
        <v>0.15</v>
      </c>
      <c r="H223" s="116">
        <f>IFERROR(__xludf.DUMMYFUNCTION("IMPORTRANGE(""https://docs.google.com/spreadsheets/d/1CeyuQDpdfYHk3UwO3UzGBWyS3P2NqO_3ETxTgL_MaRI/edit?gid=0#gid=0"",""Project details!D13"")"),0.1693528846153846)</f>
        <v>0.1693528846</v>
      </c>
      <c r="I223" s="118">
        <v>2025.0</v>
      </c>
      <c r="J223" s="115">
        <f>(E223-F223)</f>
        <v>44031.75</v>
      </c>
    </row>
    <row r="224">
      <c r="A224" s="88">
        <f>IFERROR(__xludf.DUMMYFUNCTION("""COMPUTED_VALUE"""),223.0)</f>
        <v>223</v>
      </c>
      <c r="B224" s="120" t="str">
        <f>IFERROR(__xludf.DUMMYFUNCTION("""COMPUTED_VALUE"""),"Adroit Prosper D Block")</f>
        <v>Adroit Prosper D Block</v>
      </c>
      <c r="C224" s="120">
        <f>IFERROR(__xludf.DUMMYFUNCTION("""COMPUTED_VALUE"""),10.0)</f>
        <v>10</v>
      </c>
      <c r="D224" s="119" t="str">
        <f>IFERROR(__xludf.DUMMYFUNCTION("""COMPUTED_VALUE"""),"Holding from client")</f>
        <v>Holding from client</v>
      </c>
      <c r="E224" s="115">
        <f>IFERROR(__xludf.DUMMYFUNCTION("IMPORTRANGE(""https://docs.google.com/spreadsheets/d/1JMEvDsVOUqvIrh8lkNZN_wcH05JGhyLZaJ9bXIhq6D8/edit?gid=0#gid=0"",""Project details!B12"")"),387000.0)</f>
        <v>387000</v>
      </c>
      <c r="F224" s="115">
        <f>IFERROR(__xludf.DUMMYFUNCTION("IMPORTRANGE(""https://docs.google.com/spreadsheets/d/1JMEvDsVOUqvIrh8lkNZN_wcH05JGhyLZaJ9bXIhq6D8/edit?gid=0#gid=0"",""Project details!B13"")"),290077.18)</f>
        <v>290077.18</v>
      </c>
      <c r="G224" s="116">
        <f>IFERROR(__xludf.DUMMYFUNCTION("IMPORTRANGE(""https://docs.google.com/spreadsheets/d/1JMEvDsVOUqvIrh8lkNZN_wcH05JGhyLZaJ9bXIhq6D8/edit?gid=0#gid=0"",""Project details!D12"")"),0.1)</f>
        <v>0.1</v>
      </c>
      <c r="H224" s="116">
        <f>IFERROR(__xludf.DUMMYFUNCTION("IMPORTRANGE(""https://docs.google.com/spreadsheets/d/1JMEvDsVOUqvIrh8lkNZN_wcH05JGhyLZaJ9bXIhq6D8/edit?gid=0#gid=0"",""Project details!D13"")"),0.25044656330749354)</f>
        <v>0.2504465633</v>
      </c>
      <c r="I224" s="118">
        <v>2025.0</v>
      </c>
      <c r="J224" s="115">
        <f>E224-F224</f>
        <v>96922.82</v>
      </c>
    </row>
    <row r="225">
      <c r="A225" s="88">
        <f>IFERROR(__xludf.DUMMYFUNCTION("""COMPUTED_VALUE"""),224.0)</f>
        <v>224</v>
      </c>
      <c r="B225" s="120" t="str">
        <f>IFERROR(__xludf.DUMMYFUNCTION("""COMPUTED_VALUE"""),"Mr Sundar")</f>
        <v>Mr Sundar</v>
      </c>
      <c r="C225" s="120">
        <f>IFERROR(__xludf.DUMMYFUNCTION("""COMPUTED_VALUE"""),5.5)</f>
        <v>5.5</v>
      </c>
      <c r="D225" s="119" t="str">
        <f>IFERROR(__xludf.DUMMYFUNCTION("""COMPUTED_VALUE"""),"Completed")</f>
        <v>Completed</v>
      </c>
      <c r="E225" s="115">
        <f>IFERROR(__xludf.DUMMYFUNCTION("IMPORTRANGE(""https://docs.google.com/spreadsheets/d/17R-RIVm-i3PcmubqMe_jjtgT9MO4B6D1flHHy8KPw6M/edit?gid=0#gid=0"",""Project details!B12"")"),337761.0)</f>
        <v>337761</v>
      </c>
      <c r="F225" s="115">
        <f>IFERROR(__xludf.DUMMYFUNCTION("IMPORTRANGE(""https://docs.google.com/spreadsheets/d/17R-RIVm-i3PcmubqMe_jjtgT9MO4B6D1flHHy8KPw6M/edit?gid=0#gid=0"",""Project details!B13"")"),311925.74)</f>
        <v>311925.74</v>
      </c>
      <c r="G225" s="116">
        <f>IFERROR(__xludf.DUMMYFUNCTION("IMPORTRANGE(""https://docs.google.com/spreadsheets/d/17R-RIVm-i3PcmubqMe_jjtgT9MO4B6D1flHHy8KPw6M/edit?gid=0#gid=0"",""Project details!D12"")"),0.1)</f>
        <v>0.1</v>
      </c>
      <c r="H225" s="116">
        <f>IFERROR(__xludf.DUMMYFUNCTION("IMPORTRANGE(""https://docs.google.com/spreadsheets/d/17R-RIVm-i3PcmubqMe_jjtgT9MO4B6D1flHHy8KPw6M/edit?gid=0#gid=0"",""Project details!D13"")"),0.07648976643247743)</f>
        <v>0.07648976643</v>
      </c>
      <c r="I225" s="118">
        <v>2025.0</v>
      </c>
      <c r="J225" s="115">
        <f>(E225-F225)</f>
        <v>25835.26</v>
      </c>
    </row>
    <row r="226">
      <c r="A226" s="88">
        <f>IFERROR(__xludf.DUMMYFUNCTION("""COMPUTED_VALUE"""),225.0)</f>
        <v>225</v>
      </c>
      <c r="B226" s="120" t="str">
        <f>IFERROR(__xludf.DUMMYFUNCTION("""COMPUTED_VALUE"""),"Accord Foundtaions")</f>
        <v>Accord Foundtaions</v>
      </c>
      <c r="C226" s="120">
        <f>IFERROR(__xludf.DUMMYFUNCTION("""COMPUTED_VALUE"""),30.42)</f>
        <v>30.42</v>
      </c>
      <c r="D226" s="119" t="str">
        <f>IFERROR(__xludf.DUMMYFUNCTION("""COMPUTED_VALUE"""),"On Progress")</f>
        <v>On Progress</v>
      </c>
      <c r="E226" s="115">
        <f>IFERROR(__xludf.DUMMYFUNCTION("IMPORTRANGE(""https://docs.google.com/spreadsheets/d/1cwxO16U-eRjherxdQljheuSyYSAmJ1q7eaaL66mESQg/edit?gid=0#gid=0"",""Project details!B12"")"),1585654.0)</f>
        <v>1585654</v>
      </c>
      <c r="F226" s="115">
        <f>IFERROR(__xludf.DUMMYFUNCTION("IMPORTRANGE(""https://docs.google.com/spreadsheets/d/1cwxO16U-eRjherxdQljheuSyYSAmJ1q7eaaL66mESQg/edit?gid=0#gid=0"",""Project details!B13"")"),1441285.4199999997)</f>
        <v>1441285.42</v>
      </c>
      <c r="G226" s="116">
        <f>IFERROR(__xludf.DUMMYFUNCTION("IMPORTRANGE(""https://docs.google.com/spreadsheets/d/1cwxO16U-eRjherxdQljheuSyYSAmJ1q7eaaL66mESQg/edit?gid=0#gid=0"",""Project details!D12"")"),0.1)</f>
        <v>0.1</v>
      </c>
      <c r="H226" s="116">
        <f>IFERROR(__xludf.DUMMYFUNCTION("IMPORTRANGE(""https://docs.google.com/spreadsheets/d/1cwxO16U-eRjherxdQljheuSyYSAmJ1q7eaaL66mESQg/edit?gid=0#gid=0"",""Project details!D13"")"),0.09104671006411254)</f>
        <v>0.09104671006</v>
      </c>
      <c r="I226" s="118">
        <v>2025.0</v>
      </c>
      <c r="J226" s="115">
        <f t="shared" ref="J226:J227" si="19">E226-F226</f>
        <v>144368.58</v>
      </c>
    </row>
    <row r="227">
      <c r="A227" s="88">
        <f>IFERROR(__xludf.DUMMYFUNCTION("""COMPUTED_VALUE"""),226.0)</f>
        <v>226</v>
      </c>
      <c r="B227" s="120" t="str">
        <f>IFERROR(__xludf.DUMMYFUNCTION("""COMPUTED_VALUE"""),"Zirve Project")</f>
        <v>Zirve Project</v>
      </c>
      <c r="C227" s="120">
        <f>IFERROR(__xludf.DUMMYFUNCTION("""COMPUTED_VALUE"""),30.0)</f>
        <v>30</v>
      </c>
      <c r="D227" s="119" t="str">
        <f>IFERROR(__xludf.DUMMYFUNCTION("""COMPUTED_VALUE"""),"Yet to Start")</f>
        <v>Yet to Start</v>
      </c>
      <c r="E227" s="115">
        <f>IFERROR(__xludf.DUMMYFUNCTION("IMPORTRANGE(""https://docs.google.com/spreadsheets/d/1zybClwnP4c9-L7Y2UAv4Q_awwvF8LQnZQ5AmHP1t1Mg/edit?gid=0#gid=0"",""Project details!B12"")"),1129744.0)</f>
        <v>1129744</v>
      </c>
      <c r="F227" s="115">
        <f>IFERROR(__xludf.DUMMYFUNCTION("IMPORTRANGE(""https://docs.google.com/spreadsheets/d/1zybClwnP4c9-L7Y2UAv4Q_awwvF8LQnZQ5AmHP1t1Mg/edit?gid=0#gid=0"",""Project details!B13"")"),1476691.8499999999)</f>
        <v>1476691.85</v>
      </c>
      <c r="G227" s="116">
        <f>IFERROR(__xludf.DUMMYFUNCTION("IMPORTRANGE(""https://docs.google.com/spreadsheets/d/1zybClwnP4c9-L7Y2UAv4Q_awwvF8LQnZQ5AmHP1t1Mg/edit?gid=0#gid=0"",""Project details!D12"")"),0.1)</f>
        <v>0.1</v>
      </c>
      <c r="H227" s="116">
        <f>IFERROR(__xludf.DUMMYFUNCTION("IMPORTRANGE(""https://docs.google.com/spreadsheets/d/1zybClwnP4c9-L7Y2UAv4Q_awwvF8LQnZQ5AmHP1t1Mg/edit?gid=0#gid=0"",""Project details!D13"")"),-0.3071030693679275)</f>
        <v>-0.3071030694</v>
      </c>
      <c r="I227" s="118">
        <v>2025.0</v>
      </c>
      <c r="J227" s="115">
        <f t="shared" si="19"/>
        <v>-346947.85</v>
      </c>
    </row>
    <row r="228">
      <c r="A228" s="88">
        <f>IFERROR(__xludf.DUMMYFUNCTION("""COMPUTED_VALUE"""),227.0)</f>
        <v>227</v>
      </c>
      <c r="B228" s="120" t="str">
        <f>IFERROR(__xludf.DUMMYFUNCTION("""COMPUTED_VALUE"""),"Ekana Cottage")</f>
        <v>Ekana Cottage</v>
      </c>
      <c r="C228" s="120">
        <f>IFERROR(__xludf.DUMMYFUNCTION("""COMPUTED_VALUE"""),8.0)</f>
        <v>8</v>
      </c>
      <c r="D228" s="119" t="str">
        <f>IFERROR(__xludf.DUMMYFUNCTION("""COMPUTED_VALUE"""),"Waiting for Net Meter")</f>
        <v>Waiting for Net Meter</v>
      </c>
      <c r="E228" s="115">
        <f>IFERROR(__xludf.DUMMYFUNCTION("IMPORTRANGE(""https://docs.google.com/spreadsheets/d/1m-iHqBb0nhtIREAvLlG23-GMvPmMy1FofVkfsNNqNZE/edit?gid=0#gid=0"",""Project details!B12"")"),300000.0)</f>
        <v>300000</v>
      </c>
      <c r="F228" s="115">
        <f>IFERROR(__xludf.DUMMYFUNCTION("IMPORTRANGE(""https://docs.google.com/spreadsheets/d/1m-iHqBb0nhtIREAvLlG23-GMvPmMy1FofVkfsNNqNZE/edit?gid=0#gid=0"",""Project details!B13"")"),254505.05)</f>
        <v>254505.05</v>
      </c>
      <c r="G228" s="116">
        <f>IFERROR(__xludf.DUMMYFUNCTION("IMPORTRANGE(""https://docs.google.com/spreadsheets/d/1m-iHqBb0nhtIREAvLlG23-GMvPmMy1FofVkfsNNqNZE/edit?gid=0#gid=0"",""Project details!D12"")"),0.1)</f>
        <v>0.1</v>
      </c>
      <c r="H228" s="116">
        <f>IFERROR(__xludf.DUMMYFUNCTION("IMPORTRANGE(""https://docs.google.com/spreadsheets/d/1m-iHqBb0nhtIREAvLlG23-GMvPmMy1FofVkfsNNqNZE/edit?gid=0#gid=0"",""Project details!D13"")"),0.15164983333333337)</f>
        <v>0.1516498333</v>
      </c>
      <c r="I228" s="118">
        <v>2025.0</v>
      </c>
      <c r="J228" s="115">
        <f t="shared" ref="J228:J233" si="20">(E228-F228)</f>
        <v>45494.95</v>
      </c>
    </row>
    <row r="229">
      <c r="A229" s="120">
        <f>IFERROR(__xludf.DUMMYFUNCTION("""COMPUTED_VALUE"""),228.0)</f>
        <v>228</v>
      </c>
      <c r="B229" s="120" t="str">
        <f>IFERROR(__xludf.DUMMYFUNCTION("""COMPUTED_VALUE"""),"Mr Aditya Baskar")</f>
        <v>Mr Aditya Baskar</v>
      </c>
      <c r="C229" s="120">
        <f>IFERROR(__xludf.DUMMYFUNCTION("""COMPUTED_VALUE"""),4.2)</f>
        <v>4.2</v>
      </c>
      <c r="D229" s="119" t="str">
        <f>IFERROR(__xludf.DUMMYFUNCTION("""COMPUTED_VALUE"""),"Completed")</f>
        <v>Completed</v>
      </c>
      <c r="E229" s="115">
        <f>IFERROR(__xludf.DUMMYFUNCTION("IMPORTRANGE(""https://docs.google.com/spreadsheets/d/1OqwAhCtikZjs98csb9JoNDPRQuSZk_7hI6pRWESzVMk/edit?gid=0#gid=0"",""Project details!B12"")"),257000.0)</f>
        <v>257000</v>
      </c>
      <c r="F229" s="115">
        <f>IFERROR(__xludf.DUMMYFUNCTION("IMPORTRANGE(""https://docs.google.com/spreadsheets/d/1OqwAhCtikZjs98csb9JoNDPRQuSZk_7hI6pRWESzVMk/edit?gid=0#gid=0"",""Project details!B13"")"),222930.41)</f>
        <v>222930.41</v>
      </c>
      <c r="G229" s="116">
        <f>IFERROR(__xludf.DUMMYFUNCTION("IMPORTRANGE(""https://docs.google.com/spreadsheets/d/1OqwAhCtikZjs98csb9JoNDPRQuSZk_7hI6pRWESzVMk/edit?gid=0#gid=0"",""Project details!D12"")"),0.1)</f>
        <v>0.1</v>
      </c>
      <c r="H229" s="116">
        <f>IFERROR(__xludf.DUMMYFUNCTION("IMPORTRANGE(""https://docs.google.com/spreadsheets/d/1OqwAhCtikZjs98csb9JoNDPRQuSZk_7hI6pRWESzVMk/edit?gid=0#gid=0"",""Project details!D13"")"),0.1325664980544747)</f>
        <v>0.1325664981</v>
      </c>
      <c r="I229" s="118">
        <v>2025.0</v>
      </c>
      <c r="J229" s="115">
        <f t="shared" si="20"/>
        <v>34069.59</v>
      </c>
    </row>
    <row r="230">
      <c r="A230" s="120">
        <f>IFERROR(__xludf.DUMMYFUNCTION("""COMPUTED_VALUE"""),229.0)</f>
        <v>229</v>
      </c>
      <c r="B230" s="120" t="str">
        <f>IFERROR(__xludf.DUMMYFUNCTION("""COMPUTED_VALUE"""),"Mr Manickam")</f>
        <v>Mr Manickam</v>
      </c>
      <c r="C230" s="120">
        <f>IFERROR(__xludf.DUMMYFUNCTION("""COMPUTED_VALUE"""),1.2)</f>
        <v>1.2</v>
      </c>
      <c r="D230" s="119" t="str">
        <f>IFERROR(__xludf.DUMMYFUNCTION("""COMPUTED_VALUE"""),"Completed")</f>
        <v>Completed</v>
      </c>
      <c r="E230" s="115">
        <f>IFERROR(__xludf.DUMMYFUNCTION("IMPORTRANGE(""https://docs.google.com/spreadsheets/d/1PHyN3Zv44RKNTnDc6UeHG8fsxZE9lu98M_gfYcUQWHs/edit?gid=0#gid=0"",""Project details!B12"")"),108862.0)</f>
        <v>108862</v>
      </c>
      <c r="F230" s="115">
        <f>IFERROR(__xludf.DUMMYFUNCTION("IMPORTRANGE(""https://docs.google.com/spreadsheets/d/1PHyN3Zv44RKNTnDc6UeHG8fsxZE9lu98M_gfYcUQWHs/edit?gid=0#gid=0"",""Project details!B13"")"),93584.58)</f>
        <v>93584.58</v>
      </c>
      <c r="G230" s="116">
        <f>IFERROR(__xludf.DUMMYFUNCTION("IMPORTRANGE(""https://docs.google.com/spreadsheets/d/1PHyN3Zv44RKNTnDc6UeHG8fsxZE9lu98M_gfYcUQWHs/edit?gid=0#gid=0"",""Project details!D12"")"),0.1)</f>
        <v>0.1</v>
      </c>
      <c r="H230" s="116">
        <f>IFERROR(__xludf.DUMMYFUNCTION("IMPORTRANGE(""https://docs.google.com/spreadsheets/d/1PHyN3Zv44RKNTnDc6UeHG8fsxZE9lu98M_gfYcUQWHs/edit?gid=0#gid=0"",""Project details!D13"")"),0.1403374915030038)</f>
        <v>0.1403374915</v>
      </c>
      <c r="I230" s="118">
        <v>2025.0</v>
      </c>
      <c r="J230" s="115">
        <f t="shared" si="20"/>
        <v>15277.42</v>
      </c>
    </row>
    <row r="231">
      <c r="A231" s="88">
        <f>IFERROR(__xludf.DUMMYFUNCTION("""COMPUTED_VALUE"""),230.0)</f>
        <v>230</v>
      </c>
      <c r="B231" s="120" t="str">
        <f>IFERROR(__xludf.DUMMYFUNCTION("""COMPUTED_VALUE"""),"M/s Geetha Kalyan")</f>
        <v>M/s Geetha Kalyan</v>
      </c>
      <c r="C231" s="120">
        <f>IFERROR(__xludf.DUMMYFUNCTION("""COMPUTED_VALUE"""),1.8)</f>
        <v>1.8</v>
      </c>
      <c r="D231" s="119" t="str">
        <f>IFERROR(__xludf.DUMMYFUNCTION("""COMPUTED_VALUE"""),"Completed")</f>
        <v>Completed</v>
      </c>
      <c r="E231" s="115">
        <f>IFERROR(__xludf.DUMMYFUNCTION("IMPORTRANGE(""https://docs.google.com/spreadsheets/d/1H2Mi-3sxJ6WJ2nGQ-mRtvLQUQhRXMXC2A_6kGUx-tkE/edit?gid=0#gid=0"",""Project details!B12"")"),148823.0)</f>
        <v>148823</v>
      </c>
      <c r="F231" s="115">
        <f>IFERROR(__xludf.DUMMYFUNCTION("IMPORTRANGE(""https://docs.google.com/spreadsheets/d/1H2Mi-3sxJ6WJ2nGQ-mRtvLQUQhRXMXC2A_6kGUx-tkE/edit?gid=0#gid=0"",""Project details!B13"")"),121423.68)</f>
        <v>121423.68</v>
      </c>
      <c r="G231" s="116">
        <f>IFERROR(__xludf.DUMMYFUNCTION("IMPORTRANGE(""https://docs.google.com/spreadsheets/d/1H2Mi-3sxJ6WJ2nGQ-mRtvLQUQhRXMXC2A_6kGUx-tkE/edit?gid=0#gid=0"",""Project details!D12"")"),0.1)</f>
        <v>0.1</v>
      </c>
      <c r="H231" s="116">
        <f>IFERROR(__xludf.DUMMYFUNCTION("IMPORTRANGE(""https://docs.google.com/spreadsheets/d/1H2Mi-3sxJ6WJ2nGQ-mRtvLQUQhRXMXC2A_6kGUx-tkE/edit?gid=0#gid=0"",""Project details!D13"")"),0.18410675769202345)</f>
        <v>0.1841067577</v>
      </c>
      <c r="I231" s="118">
        <v>2025.0</v>
      </c>
      <c r="J231" s="115">
        <f t="shared" si="20"/>
        <v>27399.32</v>
      </c>
    </row>
    <row r="232">
      <c r="A232" s="88">
        <f>IFERROR(__xludf.DUMMYFUNCTION("""COMPUTED_VALUE"""),231.0)</f>
        <v>231</v>
      </c>
      <c r="B232" s="120" t="str">
        <f>IFERROR(__xludf.DUMMYFUNCTION("""COMPUTED_VALUE"""),"Syed Mubarak")</f>
        <v>Syed Mubarak</v>
      </c>
      <c r="C232" s="120">
        <f>IFERROR(__xludf.DUMMYFUNCTION("""COMPUTED_VALUE"""),6.3)</f>
        <v>6.3</v>
      </c>
      <c r="D232" s="119" t="str">
        <f>IFERROR(__xludf.DUMMYFUNCTION("""COMPUTED_VALUE"""),"Waiting for Net Meter")</f>
        <v>Waiting for Net Meter</v>
      </c>
      <c r="E232" s="115">
        <f>IFERROR(__xludf.DUMMYFUNCTION("IMPORTRANGE(""https://docs.google.com/spreadsheets/d/1WvigvAMsT6GFs7BWcUXW-R7Qk6OYh0-hh7Nq8XH-QFU/edit?gid=0#gid=0"",""Project details!B12"")"),310000.0)</f>
        <v>310000</v>
      </c>
      <c r="F232" s="115">
        <f>IFERROR(__xludf.DUMMYFUNCTION("IMPORTRANGE(""https://docs.google.com/spreadsheets/d/1WvigvAMsT6GFs7BWcUXW-R7Qk6OYh0-hh7Nq8XH-QFU/edit?gid=0#gid=0"",""Project details!B13"")"),253601.43999999997)</f>
        <v>253601.44</v>
      </c>
      <c r="G232" s="116">
        <f>IFERROR(__xludf.DUMMYFUNCTION("IMPORTRANGE(""https://docs.google.com/spreadsheets/d/1WvigvAMsT6GFs7BWcUXW-R7Qk6OYh0-hh7Nq8XH-QFU/edit?gid=0#gid=0"",""Project details!D12"")"),0.08)</f>
        <v>0.08</v>
      </c>
      <c r="H232" s="116">
        <f>IFERROR(__xludf.DUMMYFUNCTION("IMPORTRANGE(""https://docs.google.com/spreadsheets/d/1WvigvAMsT6GFs7BWcUXW-R7Qk6OYh0-hh7Nq8XH-QFU/edit?gid=0#gid=0"",""Project details!D13"")"),0.1819308387096775)</f>
        <v>0.1819308387</v>
      </c>
      <c r="I232" s="118">
        <v>2025.0</v>
      </c>
      <c r="J232" s="115">
        <f t="shared" si="20"/>
        <v>56398.56</v>
      </c>
    </row>
    <row r="233">
      <c r="A233" s="120">
        <f>IFERROR(__xludf.DUMMYFUNCTION("""COMPUTED_VALUE"""),232.0)</f>
        <v>232</v>
      </c>
      <c r="B233" s="120" t="str">
        <f>IFERROR(__xludf.DUMMYFUNCTION("""COMPUTED_VALUE"""),"Mr Vasu rao")</f>
        <v>Mr Vasu rao</v>
      </c>
      <c r="C233" s="120">
        <f>IFERROR(__xludf.DUMMYFUNCTION("""COMPUTED_VALUE"""),4.2)</f>
        <v>4.2</v>
      </c>
      <c r="D233" s="119" t="str">
        <f>IFERROR(__xludf.DUMMYFUNCTION("""COMPUTED_VALUE"""),"Completed")</f>
        <v>Completed</v>
      </c>
      <c r="E233" s="115">
        <f>IFERROR(__xludf.DUMMYFUNCTION("IMPORTRANGE(""https://docs.google.com/spreadsheets/d/1YGyrM0vhQA2g46_r9mHgrrXlhtpNjWXtstzJfnbp67M/edit?gid=0#gid=0"",""Project details!B12"")"),253000.0)</f>
        <v>253000</v>
      </c>
      <c r="F233" s="115">
        <f>IFERROR(__xludf.DUMMYFUNCTION("IMPORTRANGE(""https://docs.google.com/spreadsheets/d/1YGyrM0vhQA2g46_r9mHgrrXlhtpNjWXtstzJfnbp67M/edit?gid=0#gid=0"",""Project details!B13"")"),231337.63999999998)</f>
        <v>231337.64</v>
      </c>
      <c r="G233" s="116">
        <f>IFERROR(__xludf.DUMMYFUNCTION("IMPORTRANGE(""https://docs.google.com/spreadsheets/d/1YGyrM0vhQA2g46_r9mHgrrXlhtpNjWXtstzJfnbp67M/edit?gid=0#gid=0"",""Project details!D12"")"),0.1)</f>
        <v>0.1</v>
      </c>
      <c r="H233" s="116">
        <f>IFERROR(__xludf.DUMMYFUNCTION("IMPORTRANGE(""https://docs.google.com/spreadsheets/d/1YGyrM0vhQA2g46_r9mHgrrXlhtpNjWXtstzJfnbp67M/edit?gid=0#gid=0"",""Project details!D13"")"),0.08562197628458504)</f>
        <v>0.08562197628</v>
      </c>
      <c r="I233" s="118">
        <v>2025.0</v>
      </c>
      <c r="J233" s="115">
        <f t="shared" si="20"/>
        <v>21662.36</v>
      </c>
    </row>
    <row r="234">
      <c r="A234" s="120">
        <f>IFERROR(__xludf.DUMMYFUNCTION("""COMPUTED_VALUE"""),233.0)</f>
        <v>233</v>
      </c>
      <c r="B234" s="120" t="str">
        <f>IFERROR(__xludf.DUMMYFUNCTION("""COMPUTED_VALUE"""),"DRA Trinity")</f>
        <v>DRA Trinity</v>
      </c>
      <c r="C234" s="120">
        <f>IFERROR(__xludf.DUMMYFUNCTION("""COMPUTED_VALUE"""),35.2)</f>
        <v>35.2</v>
      </c>
      <c r="D234" s="119" t="str">
        <f>IFERROR(__xludf.DUMMYFUNCTION("""COMPUTED_VALUE"""),"On Progress")</f>
        <v>On Progress</v>
      </c>
      <c r="E234" s="115">
        <f>IFERROR(__xludf.DUMMYFUNCTION("IMPORTRANGE(""https://docs.google.com/spreadsheets/d/14isDUCrBWGOYOps9aR-4jXObCVjbXJgr1LSq5qaCXcI/edit?gid=1405343218#gid=1405343218"",""Project details!B12"")"),1370979.0)</f>
        <v>1370979</v>
      </c>
      <c r="F234" s="115">
        <f>IFERROR(__xludf.DUMMYFUNCTION("IMPORTRANGE(""https://docs.google.com/spreadsheets/d/14isDUCrBWGOYOps9aR-4jXObCVjbXJgr1LSq5qaCXcI/edit?gid=1405343218#gid=1405343218"",""Project details!B13"")"),1093005.5)</f>
        <v>1093005.5</v>
      </c>
      <c r="G234" s="116">
        <f>IFERROR(__xludf.DUMMYFUNCTION("IMPORTRANGE(""https://docs.google.com/spreadsheets/d/14isDUCrBWGOYOps9aR-4jXObCVjbXJgr1LSq5qaCXcI/edit?gid=1405343218#gid=1405343218"",""Project details!D12"")"),0.2)</f>
        <v>0.2</v>
      </c>
      <c r="H234" s="116">
        <f>IFERROR(__xludf.DUMMYFUNCTION("IMPORTRANGE(""https://docs.google.com/spreadsheets/d/14isDUCrBWGOYOps9aR-4jXObCVjbXJgr1LSq5qaCXcI/edit?gid=1405343218#gid=1405343218"",""Project details!D13"")"),0.20275547619620723)</f>
        <v>0.2027554762</v>
      </c>
      <c r="I234" s="118">
        <v>2025.0</v>
      </c>
      <c r="J234" s="115">
        <f t="shared" ref="J234:J235" si="21">E234-F234</f>
        <v>277973.5</v>
      </c>
    </row>
    <row r="235">
      <c r="A235" s="88">
        <f>IFERROR(__xludf.DUMMYFUNCTION("""COMPUTED_VALUE"""),234.0)</f>
        <v>234</v>
      </c>
      <c r="B235" s="120" t="str">
        <f>IFERROR(__xludf.DUMMYFUNCTION("""COMPUTED_VALUE"""),"National School")</f>
        <v>National School</v>
      </c>
      <c r="C235" s="120">
        <f>IFERROR(__xludf.DUMMYFUNCTION("""COMPUTED_VALUE"""),15.0)</f>
        <v>15</v>
      </c>
      <c r="D235" s="119" t="str">
        <f>IFERROR(__xludf.DUMMYFUNCTION("""COMPUTED_VALUE"""),"Waiting for Net Meter")</f>
        <v>Waiting for Net Meter</v>
      </c>
      <c r="E235" s="115">
        <f>IFERROR(__xludf.DUMMYFUNCTION("IMPORTRANGE(""https://docs.google.com/spreadsheets/d/1j-xU3eDJJblg1V9edlVPN4BxAGqJUEls-EWtkmZOous/edit?gid=0#gid=0"",""Project details!B12"")"),497182.0)</f>
        <v>497182</v>
      </c>
      <c r="F235" s="115">
        <f>IFERROR(__xludf.DUMMYFUNCTION("IMPORTRANGE(""https://docs.google.com/spreadsheets/d/1j-xU3eDJJblg1V9edlVPN4BxAGqJUEls-EWtkmZOous/edit?gid=0#gid=0"",""Project details!B13"")"),455870.0500000001)</f>
        <v>455870.05</v>
      </c>
      <c r="G235" s="116">
        <f>IFERROR(__xludf.DUMMYFUNCTION("IMPORTRANGE(""https://docs.google.com/spreadsheets/d/1j-xU3eDJJblg1V9edlVPN4BxAGqJUEls-EWtkmZOous/edit?gid=0#gid=0"",""Project details!D12"")"),0.1)</f>
        <v>0.1</v>
      </c>
      <c r="H235" s="116">
        <f>IFERROR(__xludf.DUMMYFUNCTION("IMPORTRANGE(""https://docs.google.com/spreadsheets/d/1j-xU3eDJJblg1V9edlVPN4BxAGqJUEls-EWtkmZOous/edit?gid=0#gid=0"",""Project details!D13"")"),0.08309220768249835)</f>
        <v>0.08309220768</v>
      </c>
      <c r="I235" s="118">
        <v>2025.0</v>
      </c>
      <c r="J235" s="115">
        <f t="shared" si="21"/>
        <v>41311.95</v>
      </c>
    </row>
    <row r="236">
      <c r="A236" s="88">
        <f>IFERROR(__xludf.DUMMYFUNCTION("""COMPUTED_VALUE"""),235.0)</f>
        <v>235</v>
      </c>
      <c r="B236" s="120" t="str">
        <f>IFERROR(__xludf.DUMMYFUNCTION("""COMPUTED_VALUE"""),"Mr Sivasankar Home")</f>
        <v>Mr Sivasankar Home</v>
      </c>
      <c r="C236" s="120">
        <f>IFERROR(__xludf.DUMMYFUNCTION("""COMPUTED_VALUE"""),3.0)</f>
        <v>3</v>
      </c>
      <c r="D236" s="119" t="str">
        <f>IFERROR(__xludf.DUMMYFUNCTION("""COMPUTED_VALUE"""),"Completed")</f>
        <v>Completed</v>
      </c>
      <c r="E236" s="115">
        <f>IFERROR(__xludf.DUMMYFUNCTION("IMPORTRANGE(""https://docs.google.com/spreadsheets/d/105cTWdXTBGwlegbZ3z96TI2GGawwj6mmQOkqL7AovD4/edit?gid=0#gid=0"",""Project details!B12"")"),206880.0)</f>
        <v>206880</v>
      </c>
      <c r="F236" s="115">
        <f>IFERROR(__xludf.DUMMYFUNCTION("IMPORTRANGE(""https://docs.google.com/spreadsheets/d/105cTWdXTBGwlegbZ3z96TI2GGawwj6mmQOkqL7AovD4/edit?gid=0#gid=0"",""Project details!B13"")"),164997.56999999998)</f>
        <v>164997.57</v>
      </c>
      <c r="G236" s="116">
        <f>IFERROR(__xludf.DUMMYFUNCTION("IMPORTRANGE(""https://docs.google.com/spreadsheets/d/105cTWdXTBGwlegbZ3z96TI2GGawwj6mmQOkqL7AovD4/edit?gid=0#gid=0"",""Project details!D12"")"),0.1)</f>
        <v>0.1</v>
      </c>
      <c r="H236" s="116">
        <f>IFERROR(__xludf.DUMMYFUNCTION("IMPORTRANGE(""https://docs.google.com/spreadsheets/d/105cTWdXTBGwlegbZ3z96TI2GGawwj6mmQOkqL7AovD4/edit?gid=0#gid=0"",""Project details!D13"")"),0.20244794083526693)</f>
        <v>0.2024479408</v>
      </c>
      <c r="I236" s="118">
        <v>2025.0</v>
      </c>
      <c r="J236" s="115">
        <f>(E236-F236)</f>
        <v>41882.43</v>
      </c>
    </row>
    <row r="237">
      <c r="A237" s="88">
        <f>IFERROR(__xludf.DUMMYFUNCTION("""COMPUTED_VALUE"""),236.0)</f>
        <v>236</v>
      </c>
      <c r="B237" s="120" t="str">
        <f>IFERROR(__xludf.DUMMYFUNCTION("""COMPUTED_VALUE"""),"Chettinad Grinding Unit")</f>
        <v>Chettinad Grinding Unit</v>
      </c>
      <c r="C237" s="120">
        <f>IFERROR(__xludf.DUMMYFUNCTION("""COMPUTED_VALUE"""),10.0)</f>
        <v>10</v>
      </c>
      <c r="D237" s="119" t="str">
        <f>IFERROR(__xludf.DUMMYFUNCTION("""COMPUTED_VALUE"""),"Waiting for Net Meter")</f>
        <v>Waiting for Net Meter</v>
      </c>
      <c r="E237" s="115">
        <f>IFERROR(__xludf.DUMMYFUNCTION("IMPORTRANGE(""https://docs.google.com/spreadsheets/d/1WOpwlXEg4O3MdN7jw1J15Fpf30kKxUqEU6YKigPuSns/edit?gid=0#gid=0"",""Project details!B12"")"),565220.0)</f>
        <v>565220</v>
      </c>
      <c r="F237" s="115">
        <f>IFERROR(__xludf.DUMMYFUNCTION("IMPORTRANGE(""https://docs.google.com/spreadsheets/d/1WOpwlXEg4O3MdN7jw1J15Fpf30kKxUqEU6YKigPuSns/edit?gid=0#gid=0"",""Project details!B13"")"),468794.3999999999)</f>
        <v>468794.4</v>
      </c>
      <c r="G237" s="116">
        <f>IFERROR(__xludf.DUMMYFUNCTION("IMPORTRANGE(""https://docs.google.com/spreadsheets/d/1WOpwlXEg4O3MdN7jw1J15Fpf30kKxUqEU6YKigPuSns/edit?gid=0#gid=0"",""Project details!D12"")"),0.1)</f>
        <v>0.1</v>
      </c>
      <c r="H237" s="116">
        <f>IFERROR(__xludf.DUMMYFUNCTION("IMPORTRANGE(""https://docs.google.com/spreadsheets/d/1WOpwlXEg4O3MdN7jw1J15Fpf30kKxUqEU6YKigPuSns/edit?gid=0#gid=0"",""Project details!D13"")"),0.1705983510845336)</f>
        <v>0.1705983511</v>
      </c>
      <c r="I237" s="118">
        <v>2025.0</v>
      </c>
      <c r="J237" s="115">
        <f t="shared" ref="J237:J238" si="22">E237-F237</f>
        <v>96425.6</v>
      </c>
    </row>
    <row r="238">
      <c r="A238" s="88">
        <f>IFERROR(__xludf.DUMMYFUNCTION("""COMPUTED_VALUE"""),237.0)</f>
        <v>237</v>
      </c>
      <c r="B238" s="120" t="str">
        <f>IFERROR(__xludf.DUMMYFUNCTION("""COMPUTED_VALUE"""),"Mr Parasuraman 2")</f>
        <v>Mr Parasuraman 2</v>
      </c>
      <c r="C238" s="120">
        <f>IFERROR(__xludf.DUMMYFUNCTION("""COMPUTED_VALUE"""),7.2)</f>
        <v>7.2</v>
      </c>
      <c r="D238" s="119" t="str">
        <f>IFERROR(__xludf.DUMMYFUNCTION("""COMPUTED_VALUE"""),"On Progress")</f>
        <v>On Progress</v>
      </c>
      <c r="E238" s="115">
        <f>IFERROR(__xludf.DUMMYFUNCTION("IMPORTRANGE(""https://docs.google.com/spreadsheets/d/1Fr3XqEkLuGpjkIFJfAUGDiUwrFhRggaSNyKUMTgmPo0/edit?gid=0#gid=0"",""Project details!B12"")"),430000.0)</f>
        <v>430000</v>
      </c>
      <c r="F238" s="115">
        <f>IFERROR(__xludf.DUMMYFUNCTION("IMPORTRANGE(""https://docs.google.com/spreadsheets/d/1Fr3XqEkLuGpjkIFJfAUGDiUwrFhRggaSNyKUMTgmPo0/edit?gid=0#gid=0"",""Project details!B13"")"),439379.9000000001)</f>
        <v>439379.9</v>
      </c>
      <c r="G238" s="116">
        <f>IFERROR(__xludf.DUMMYFUNCTION("IMPORTRANGE(""https://docs.google.com/spreadsheets/d/1Fr3XqEkLuGpjkIFJfAUGDiUwrFhRggaSNyKUMTgmPo0/edit?gid=0#gid=0"",""Project details!D12"")"),0.1)</f>
        <v>0.1</v>
      </c>
      <c r="H238" s="116">
        <f>IFERROR(__xludf.DUMMYFUNCTION("IMPORTRANGE(""https://docs.google.com/spreadsheets/d/1Fr3XqEkLuGpjkIFJfAUGDiUwrFhRggaSNyKUMTgmPo0/edit?gid=0#gid=0"",""Project details!D13"")"),-0.021813720930232747)</f>
        <v>-0.02181372093</v>
      </c>
      <c r="I238" s="118">
        <v>2025.0</v>
      </c>
      <c r="J238" s="115">
        <f t="shared" si="22"/>
        <v>-9379.9</v>
      </c>
    </row>
    <row r="239">
      <c r="A239" s="88">
        <f>IFERROR(__xludf.DUMMYFUNCTION("""COMPUTED_VALUE"""),238.0)</f>
        <v>238</v>
      </c>
      <c r="B239" s="120" t="str">
        <f>IFERROR(__xludf.DUMMYFUNCTION("""COMPUTED_VALUE"""),"Alamelu &amp; Arvind")</f>
        <v>Alamelu &amp; Arvind</v>
      </c>
      <c r="C239" s="120">
        <f>IFERROR(__xludf.DUMMYFUNCTION("""COMPUTED_VALUE"""),9.9)</f>
        <v>9.9</v>
      </c>
      <c r="D239" s="119" t="str">
        <f>IFERROR(__xludf.DUMMYFUNCTION("""COMPUTED_VALUE"""),"Completed")</f>
        <v>Completed</v>
      </c>
      <c r="E239" s="115">
        <f>IFERROR(__xludf.DUMMYFUNCTION("IMPORTRANGE(""https://docs.google.com/spreadsheets/d/1qc-SWWTLJR1-nMN2eZJIKmK61m4Y6TYaw-YFUdfw-5k/edit?gid=0#gid=0"",""Project details!B12"")"),492000.0)</f>
        <v>492000</v>
      </c>
      <c r="F239" s="115">
        <f>IFERROR(__xludf.DUMMYFUNCTION("IMPORTRANGE(""https://docs.google.com/spreadsheets/d/1qc-SWWTLJR1-nMN2eZJIKmK61m4Y6TYaw-YFUdfw-5k/edit?gid=0#gid=0"",""Project details!B13"")"),378161.69999999995)</f>
        <v>378161.7</v>
      </c>
      <c r="G239" s="116">
        <f>IFERROR(__xludf.DUMMYFUNCTION("IMPORTRANGE(""https://docs.google.com/spreadsheets/d/1qc-SWWTLJR1-nMN2eZJIKmK61m4Y6TYaw-YFUdfw-5k/edit?gid=0#gid=0"",""Project details!D12"")"),0.1)</f>
        <v>0.1</v>
      </c>
      <c r="H239" s="116">
        <f>IFERROR(__xludf.DUMMYFUNCTION("IMPORTRANGE(""https://docs.google.com/spreadsheets/d/1qc-SWWTLJR1-nMN2eZJIKmK61m4Y6TYaw-YFUdfw-5k/edit?gid=0#gid=0"",""Project details!D13"")"),0.23137865853658546)</f>
        <v>0.2313786585</v>
      </c>
      <c r="I239" s="118">
        <v>2025.0</v>
      </c>
      <c r="J239" s="115">
        <f t="shared" ref="J239:J243" si="23">(E239-F239)</f>
        <v>113838.3</v>
      </c>
    </row>
    <row r="240">
      <c r="A240" s="120">
        <f>IFERROR(__xludf.DUMMYFUNCTION("""COMPUTED_VALUE"""),239.0)</f>
        <v>239</v>
      </c>
      <c r="B240" s="120" t="str">
        <f>IFERROR(__xludf.DUMMYFUNCTION("""COMPUTED_VALUE"""),"Mr Solai Ayyar")</f>
        <v>Mr Solai Ayyar</v>
      </c>
      <c r="C240" s="120">
        <f>IFERROR(__xludf.DUMMYFUNCTION("""COMPUTED_VALUE"""),8.6)</f>
        <v>8.6</v>
      </c>
      <c r="D240" s="119" t="str">
        <f>IFERROR(__xludf.DUMMYFUNCTION("""COMPUTED_VALUE"""),"Completed")</f>
        <v>Completed</v>
      </c>
      <c r="E240" s="115">
        <f>IFERROR(__xludf.DUMMYFUNCTION("IMPORTRANGE(""https://docs.google.com/spreadsheets/d/1EmjtE269HP8yOe--zlGmoJopwJP5FllwV4ifeH5_Quc/edit?gid=0#gid=0"",""Project details!B12"")"),562662.0)</f>
        <v>562662</v>
      </c>
      <c r="F240" s="115">
        <f>IFERROR(__xludf.DUMMYFUNCTION("IMPORTRANGE(""https://docs.google.com/spreadsheets/d/1EmjtE269HP8yOe--zlGmoJopwJP5FllwV4ifeH5_Quc/edit?gid=0#gid=0"",""Project details!B13"")"),492142.1)</f>
        <v>492142.1</v>
      </c>
      <c r="G240" s="116">
        <f>IFERROR(__xludf.DUMMYFUNCTION("IMPORTRANGE(""https://docs.google.com/spreadsheets/d/1EmjtE269HP8yOe--zlGmoJopwJP5FllwV4ifeH5_Quc/edit?gid=0#gid=0"",""Project details!D12"")"),0.1)</f>
        <v>0.1</v>
      </c>
      <c r="H240" s="116">
        <f>IFERROR(__xludf.DUMMYFUNCTION("IMPORTRANGE(""https://docs.google.com/spreadsheets/d/1EmjtE269HP8yOe--zlGmoJopwJP5FllwV4ifeH5_Quc/edit?gid=0#gid=0"",""Project details!D13"")"),0.1253326153178996)</f>
        <v>0.1253326153</v>
      </c>
      <c r="I240" s="118">
        <v>2025.0</v>
      </c>
      <c r="J240" s="115">
        <f t="shared" si="23"/>
        <v>70519.9</v>
      </c>
    </row>
    <row r="241">
      <c r="A241" s="120">
        <f>IFERROR(__xludf.DUMMYFUNCTION("""COMPUTED_VALUE"""),240.0)</f>
        <v>240</v>
      </c>
      <c r="B241" s="120" t="str">
        <f>IFERROR(__xludf.DUMMYFUNCTION("""COMPUTED_VALUE"""),"Ramaniyam Premasaraswathi")</f>
        <v>Ramaniyam Premasaraswathi</v>
      </c>
      <c r="C241" s="120">
        <f>IFERROR(__xludf.DUMMYFUNCTION("""COMPUTED_VALUE"""),6.6)</f>
        <v>6.6</v>
      </c>
      <c r="D241" s="119" t="str">
        <f>IFERROR(__xludf.DUMMYFUNCTION("""COMPUTED_VALUE"""),"Waiting for Net Meter")</f>
        <v>Waiting for Net Meter</v>
      </c>
      <c r="E241" s="115">
        <f>IFERROR(__xludf.DUMMYFUNCTION("IMPORTRANGE(""https://docs.google.com/spreadsheets/d/1e6PkZKw_9vflD5vH4-O4ysj56hJ3L7rmRG8qO5eeNGs/edit?gid=0#gid=0"",""Project details!B12"")"),320728.0)</f>
        <v>320728</v>
      </c>
      <c r="F241" s="115">
        <f>IFERROR(__xludf.DUMMYFUNCTION("IMPORTRANGE(""https://docs.google.com/spreadsheets/d/1e6PkZKw_9vflD5vH4-O4ysj56hJ3L7rmRG8qO5eeNGs/edit?gid=0#gid=0"",""Project details!B13"")"),236014.6)</f>
        <v>236014.6</v>
      </c>
      <c r="G241" s="116">
        <f>IFERROR(__xludf.DUMMYFUNCTION("IMPORTRANGE(""https://docs.google.com/spreadsheets/d/1e6PkZKw_9vflD5vH4-O4ysj56hJ3L7rmRG8qO5eeNGs/edit?gid=0#gid=0"",""Project details!D12"")"),0.1)</f>
        <v>0.1</v>
      </c>
      <c r="H241" s="116">
        <f>IFERROR(__xludf.DUMMYFUNCTION("IMPORTRANGE(""https://docs.google.com/spreadsheets/d/1e6PkZKw_9vflD5vH4-O4ysj56hJ3L7rmRG8qO5eeNGs/edit?gid=0#gid=0"",""Project details!D13"")"),0.26412848270185324)</f>
        <v>0.2641284827</v>
      </c>
      <c r="I241" s="118">
        <v>2025.0</v>
      </c>
      <c r="J241" s="115">
        <f t="shared" si="23"/>
        <v>84713.4</v>
      </c>
    </row>
    <row r="242">
      <c r="A242" s="88">
        <f>IFERROR(__xludf.DUMMYFUNCTION("""COMPUTED_VALUE"""),241.0)</f>
        <v>241</v>
      </c>
      <c r="B242" s="120" t="str">
        <f>IFERROR(__xludf.DUMMYFUNCTION("""COMPUTED_VALUE"""),"Mr Pradip Jasiwal")</f>
        <v>Mr Pradip Jasiwal</v>
      </c>
      <c r="C242" s="120">
        <f>IFERROR(__xludf.DUMMYFUNCTION("""COMPUTED_VALUE"""),8.6)</f>
        <v>8.6</v>
      </c>
      <c r="D242" s="119" t="str">
        <f>IFERROR(__xludf.DUMMYFUNCTION("""COMPUTED_VALUE"""),"Completed")</f>
        <v>Completed</v>
      </c>
      <c r="E242" s="115">
        <f>IFERROR(__xludf.DUMMYFUNCTION("IMPORTRANGE(""https://docs.google.com/spreadsheets/d/1GgGc0f2E1c_5xzGinGGjAjUGPcppPhRnrafdZpg_XOo/edit?gid=0#gid=0"",""Project details!B12"")"),555964.0)</f>
        <v>555964</v>
      </c>
      <c r="F242" s="115">
        <f>IFERROR(__xludf.DUMMYFUNCTION("IMPORTRANGE(""https://docs.google.com/spreadsheets/d/1GgGc0f2E1c_5xzGinGGjAjUGPcppPhRnrafdZpg_XOo/edit?gid=0#gid=0"",""Project details!B13"")"),408683.92000000004)</f>
        <v>408683.92</v>
      </c>
      <c r="G242" s="116">
        <f>IFERROR(__xludf.DUMMYFUNCTION("IMPORTRANGE(""https://docs.google.com/spreadsheets/d/1GgGc0f2E1c_5xzGinGGjAjUGPcppPhRnrafdZpg_XOo/edit?gid=0#gid=0"",""Project details!D12"")"),0.1)</f>
        <v>0.1</v>
      </c>
      <c r="H242" s="116">
        <f>IFERROR(__xludf.DUMMYFUNCTION("IMPORTRANGE(""https://docs.google.com/spreadsheets/d/1GgGc0f2E1c_5xzGinGGjAjUGPcppPhRnrafdZpg_XOo/edit?gid=0#gid=0"",""Project details!D13"")"),0.2649093826218963)</f>
        <v>0.2649093826</v>
      </c>
      <c r="I242" s="118">
        <v>2025.0</v>
      </c>
      <c r="J242" s="115">
        <f t="shared" si="23"/>
        <v>147280.08</v>
      </c>
    </row>
    <row r="243">
      <c r="A243" s="88">
        <f>IFERROR(__xludf.DUMMYFUNCTION("""COMPUTED_VALUE"""),242.0)</f>
        <v>242</v>
      </c>
      <c r="B243" s="120" t="str">
        <f>IFERROR(__xludf.DUMMYFUNCTION("""COMPUTED_VALUE"""),"Mr Mithil &amp; Karan")</f>
        <v>Mr Mithil &amp; Karan</v>
      </c>
      <c r="C243" s="120">
        <f>IFERROR(__xludf.DUMMYFUNCTION("""COMPUTED_VALUE"""),16.0)</f>
        <v>16</v>
      </c>
      <c r="D243" s="119" t="str">
        <f>IFERROR(__xludf.DUMMYFUNCTION("""COMPUTED_VALUE"""),"Waiting for Net Meter")</f>
        <v>Waiting for Net Meter</v>
      </c>
      <c r="E243" s="115">
        <f>IFERROR(__xludf.DUMMYFUNCTION("IMPORTRANGE(""https://docs.google.com/spreadsheets/d/1Ddxbrc0AdYfIYbU_StixepBLrdh9fRh9FFz6tfzl1lE/edit?gid=0#gid=0"",""Project details!B12"")"),800000.0)</f>
        <v>800000</v>
      </c>
      <c r="F243" s="115">
        <f>IFERROR(__xludf.DUMMYFUNCTION("IMPORTRANGE(""https://docs.google.com/spreadsheets/d/1Ddxbrc0AdYfIYbU_StixepBLrdh9fRh9FFz6tfzl1lE/edit?gid=0#gid=0"",""Project details!B13"")"),727147.1499999998)</f>
        <v>727147.15</v>
      </c>
      <c r="G243" s="116">
        <f>IFERROR(__xludf.DUMMYFUNCTION("IMPORTRANGE(""https://docs.google.com/spreadsheets/d/1Ddxbrc0AdYfIYbU_StixepBLrdh9fRh9FFz6tfzl1lE/edit?gid=0#gid=0"",""Project details!D12"")"),0.1)</f>
        <v>0.1</v>
      </c>
      <c r="H243" s="116">
        <f>IFERROR(__xludf.DUMMYFUNCTION("IMPORTRANGE(""https://docs.google.com/spreadsheets/d/1Ddxbrc0AdYfIYbU_StixepBLrdh9fRh9FFz6tfzl1lE/edit?gid=0#gid=0"",""Project details!D13"")"),0.09106606250000027)</f>
        <v>0.0910660625</v>
      </c>
      <c r="I243" s="118">
        <v>2025.0</v>
      </c>
      <c r="J243" s="115">
        <f t="shared" si="23"/>
        <v>72852.85</v>
      </c>
    </row>
    <row r="244">
      <c r="A244" s="120">
        <f>IFERROR(__xludf.DUMMYFUNCTION("""COMPUTED_VALUE"""),243.0)</f>
        <v>243</v>
      </c>
      <c r="B244" s="120" t="str">
        <f>IFERROR(__xludf.DUMMYFUNCTION("""COMPUTED_VALUE"""),"Radiance Splendour")</f>
        <v>Radiance Splendour</v>
      </c>
      <c r="C244" s="120">
        <f>IFERROR(__xludf.DUMMYFUNCTION("""COMPUTED_VALUE"""),161.0)</f>
        <v>161</v>
      </c>
      <c r="D244" s="119" t="str">
        <f>IFERROR(__xludf.DUMMYFUNCTION("""COMPUTED_VALUE"""),"Completed")</f>
        <v>Completed</v>
      </c>
      <c r="E244" s="115">
        <f>IFERROR(__xludf.DUMMYFUNCTION("IMPORTRANGE(""https://docs.google.com/spreadsheets/d/1FxjMuEKD3z50diFe5AGgQ6RYonZm22CX_QmAZKhIgTY/edit?gid=0#gid=0"",""Project details!B12"")"),7369001.0)</f>
        <v>7369001</v>
      </c>
      <c r="F244" s="115">
        <f>IFERROR(__xludf.DUMMYFUNCTION("IMPORTRANGE(""https://docs.google.com/spreadsheets/d/1FxjMuEKD3z50diFe5AGgQ6RYonZm22CX_QmAZKhIgTY/edit?gid=0#gid=0"",""Project details!B13"")"),6523754.331000001)</f>
        <v>6523754.331</v>
      </c>
      <c r="G244" s="116">
        <f>IFERROR(__xludf.DUMMYFUNCTION("IMPORTRANGE(""https://docs.google.com/spreadsheets/d/1FxjMuEKD3z50diFe5AGgQ6RYonZm22CX_QmAZKhIgTY/edit?gid=0#gid=0"",""Project details!D12"")"),0.125)</f>
        <v>0.125</v>
      </c>
      <c r="H244" s="116">
        <f>IFERROR(__xludf.DUMMYFUNCTION("IMPORTRANGE(""https://docs.google.com/spreadsheets/d/1FxjMuEKD3z50diFe5AGgQ6RYonZm22CX_QmAZKhIgTY/edit?gid=0#gid=0"",""Project details!D13"")"),0.11470301998873372)</f>
        <v>0.11470302</v>
      </c>
      <c r="I244" s="130">
        <v>2025.0</v>
      </c>
      <c r="J244" s="131">
        <f t="shared" ref="J244:J248" si="24">E244-F244</f>
        <v>845246.669</v>
      </c>
    </row>
    <row r="245">
      <c r="A245" s="120">
        <f>IFERROR(__xludf.DUMMYFUNCTION("""COMPUTED_VALUE"""),244.0)</f>
        <v>244</v>
      </c>
      <c r="B245" s="120" t="str">
        <f>IFERROR(__xludf.DUMMYFUNCTION("""COMPUTED_VALUE"""),"S&amp;P The Address")</f>
        <v>S&amp;P The Address</v>
      </c>
      <c r="C245" s="120">
        <f>IFERROR(__xludf.DUMMYFUNCTION("""COMPUTED_VALUE"""),2.4)</f>
        <v>2.4</v>
      </c>
      <c r="D245" s="119" t="str">
        <f>IFERROR(__xludf.DUMMYFUNCTION("""COMPUTED_VALUE"""),"Waiting for Net Meter")</f>
        <v>Waiting for Net Meter</v>
      </c>
      <c r="E245" s="115">
        <f>IFERROR(__xludf.DUMMYFUNCTION("IMPORTRANGE(""https://docs.google.com/spreadsheets/d/1QOLwNeGVW1vSX6J5EE3zCnypVuvDW_5TGVZJxzuo-CY/edit?gid=0#gid=0"",""Project details!B12"")"),125762.0)</f>
        <v>125762</v>
      </c>
      <c r="F245" s="115">
        <f>IFERROR(__xludf.DUMMYFUNCTION("IMPORTRANGE(""https://docs.google.com/spreadsheets/d/1QOLwNeGVW1vSX6J5EE3zCnypVuvDW_5TGVZJxzuo-CY/edit?gid=0#gid=0"",""Project details!B13"")"),100353.55000000002)</f>
        <v>100353.55</v>
      </c>
      <c r="G245" s="116">
        <f>IFERROR(__xludf.DUMMYFUNCTION("IMPORTRANGE(""https://docs.google.com/spreadsheets/d/1QOLwNeGVW1vSX6J5EE3zCnypVuvDW_5TGVZJxzuo-CY/edit?gid=0#gid=0"",""Project details!D12"")"),0.1)</f>
        <v>0.1</v>
      </c>
      <c r="H245" s="116">
        <f>IFERROR(__xludf.DUMMYFUNCTION("IMPORTRANGE(""https://docs.google.com/spreadsheets/d/1QOLwNeGVW1vSX6J5EE3zCnypVuvDW_5TGVZJxzuo-CY/edit?gid=0#gid=0"",""Project details!D13"")"),0.2020359886134125)</f>
        <v>0.2020359886</v>
      </c>
      <c r="I245" s="118">
        <v>2026.0</v>
      </c>
      <c r="J245" s="115">
        <f t="shared" si="24"/>
        <v>25408.45</v>
      </c>
    </row>
    <row r="246">
      <c r="A246" s="88">
        <f>IFERROR(__xludf.DUMMYFUNCTION("""COMPUTED_VALUE"""),245.0)</f>
        <v>245</v>
      </c>
      <c r="B246" s="120" t="str">
        <f>IFERROR(__xludf.DUMMYFUNCTION("""COMPUTED_VALUE"""),"Ramaniyam Ashok Vihar")</f>
        <v>Ramaniyam Ashok Vihar</v>
      </c>
      <c r="C246" s="120">
        <f>IFERROR(__xludf.DUMMYFUNCTION("""COMPUTED_VALUE"""),7.7)</f>
        <v>7.7</v>
      </c>
      <c r="D246" s="119" t="str">
        <f>IFERROR(__xludf.DUMMYFUNCTION("""COMPUTED_VALUE"""),"Waiting for Net Meter")</f>
        <v>Waiting for Net Meter</v>
      </c>
      <c r="E246" s="115">
        <f>IFERROR(__xludf.DUMMYFUNCTION("IMPORTRANGE(""https://docs.google.com/spreadsheets/d/1-pXAevG6gxp2FCp2O5MTvFhn8ttpgNeKPXaKoP-0zc0/edit?gid=0#gid=0"",""Project details!B12"")"),372351.0)</f>
        <v>372351</v>
      </c>
      <c r="F246" s="115">
        <f>IFERROR(__xludf.DUMMYFUNCTION("IMPORTRANGE(""https://docs.google.com/spreadsheets/d/1-pXAevG6gxp2FCp2O5MTvFhn8ttpgNeKPXaKoP-0zc0/edit?gid=0#gid=0"",""Project details!B13"")"),237418.3)</f>
        <v>237418.3</v>
      </c>
      <c r="G246" s="116">
        <f>IFERROR(__xludf.DUMMYFUNCTION("IMPORTRANGE(""https://docs.google.com/spreadsheets/d/1-pXAevG6gxp2FCp2O5MTvFhn8ttpgNeKPXaKoP-0zc0/edit?gid=0#gid=0"",""Project details!D12"")"),0.1)</f>
        <v>0.1</v>
      </c>
      <c r="H246" s="116">
        <f>IFERROR(__xludf.DUMMYFUNCTION("IMPORTRANGE(""https://docs.google.com/spreadsheets/d/1-pXAevG6gxp2FCp2O5MTvFhn8ttpgNeKPXaKoP-0zc0/edit?gid=0#gid=0"",""Project details!D13"")"),0.36238038839696957)</f>
        <v>0.3623803884</v>
      </c>
      <c r="I246" s="118">
        <v>2026.0</v>
      </c>
      <c r="J246" s="115">
        <f t="shared" si="24"/>
        <v>134932.7</v>
      </c>
    </row>
    <row r="247">
      <c r="A247" s="88">
        <f>IFERROR(__xludf.DUMMYFUNCTION("""COMPUTED_VALUE"""),246.0)</f>
        <v>246</v>
      </c>
      <c r="B247" s="120" t="str">
        <f>IFERROR(__xludf.DUMMYFUNCTION("""COMPUTED_VALUE"""),"Mr Deepak Raj")</f>
        <v>Mr Deepak Raj</v>
      </c>
      <c r="C247" s="120">
        <f>IFERROR(__xludf.DUMMYFUNCTION("""COMPUTED_VALUE"""),3.3)</f>
        <v>3.3</v>
      </c>
      <c r="D247" s="119" t="str">
        <f>IFERROR(__xludf.DUMMYFUNCTION("""COMPUTED_VALUE"""),"Completed")</f>
        <v>Completed</v>
      </c>
      <c r="E247" s="115">
        <f>IFERROR(__xludf.DUMMYFUNCTION("IMPORTRANGE(""https://docs.google.com/spreadsheets/d/1CAc5CawyN5Zef-htaChiC-cRAUOTo4Ep8ZnLav0bib4/edit?gid=0#gid=0"",""Project details!B12"")"),205000.0)</f>
        <v>205000</v>
      </c>
      <c r="F247" s="115">
        <f>IFERROR(__xludf.DUMMYFUNCTION("IMPORTRANGE(""https://docs.google.com/spreadsheets/d/1CAc5CawyN5Zef-htaChiC-cRAUOTo4Ep8ZnLav0bib4/edit?gid=0#gid=0"",""Project details!B13"")"),143312.16)</f>
        <v>143312.16</v>
      </c>
      <c r="G247" s="116">
        <f>IFERROR(__xludf.DUMMYFUNCTION("IMPORTRANGE(""https://docs.google.com/spreadsheets/d/1CAc5CawyN5Zef-htaChiC-cRAUOTo4Ep8ZnLav0bib4/edit?gid=0#gid=0"",""Project details!D12"")"),0.1)</f>
        <v>0.1</v>
      </c>
      <c r="H247" s="116">
        <f>IFERROR(__xludf.DUMMYFUNCTION("IMPORTRANGE(""https://docs.google.com/spreadsheets/d/1CAc5CawyN5Zef-htaChiC-cRAUOTo4Ep8ZnLav0bib4/edit?gid=0#gid=0"",""Project details!D13"")"),0.3009162926829268)</f>
        <v>0.3009162927</v>
      </c>
      <c r="I247" s="118">
        <v>2026.0</v>
      </c>
      <c r="J247" s="115">
        <f t="shared" si="24"/>
        <v>61687.84</v>
      </c>
    </row>
    <row r="248">
      <c r="A248" s="88">
        <f>IFERROR(__xludf.DUMMYFUNCTION("""COMPUTED_VALUE"""),247.0)</f>
        <v>247</v>
      </c>
      <c r="B248" s="120" t="str">
        <f>IFERROR(__xludf.DUMMYFUNCTION("""COMPUTED_VALUE"""),"RCC Austrom Icon")</f>
        <v>RCC Austrom Icon</v>
      </c>
      <c r="C248" s="120">
        <f>IFERROR(__xludf.DUMMYFUNCTION("""COMPUTED_VALUE"""),10.0)</f>
        <v>10</v>
      </c>
      <c r="D248" s="119" t="str">
        <f>IFERROR(__xludf.DUMMYFUNCTION("""COMPUTED_VALUE"""),"Completed")</f>
        <v>Completed</v>
      </c>
      <c r="E248" s="115">
        <f>IFERROR(__xludf.DUMMYFUNCTION("IMPORTRANGE(""https://docs.google.com/spreadsheets/d/1_4cfmBG-E009QXhJXTynPyWIaOeJlRKmsPVh5nI5IS8/edit?gid=0#gid=0"",""Project details!B12"")"),274442.0)</f>
        <v>274442</v>
      </c>
      <c r="F248" s="115">
        <f>IFERROR(__xludf.DUMMYFUNCTION("IMPORTRANGE(""https://docs.google.com/spreadsheets/d/1_4cfmBG-E009QXhJXTynPyWIaOeJlRKmsPVh5nI5IS8/edit?gid=0#gid=0"",""Project details!B13"")"),225818.0)</f>
        <v>225818</v>
      </c>
      <c r="G248" s="116">
        <f>IFERROR(__xludf.DUMMYFUNCTION("IMPORTRANGE(""https://docs.google.com/spreadsheets/d/1_4cfmBG-E009QXhJXTynPyWIaOeJlRKmsPVh5nI5IS8/edit?gid=0#gid=0"",""Project details!D12"")"),0.1)</f>
        <v>0.1</v>
      </c>
      <c r="H248" s="116">
        <f>IFERROR(__xludf.DUMMYFUNCTION("IMPORTRANGE(""https://docs.google.com/spreadsheets/d/1_4cfmBG-E009QXhJXTynPyWIaOeJlRKmsPVh5nI5IS8/edit?gid=0#gid=0"",""Project details!D13"")"),0.1771740477040686)</f>
        <v>0.1771740477</v>
      </c>
      <c r="I248" s="118">
        <v>2026.0</v>
      </c>
      <c r="J248" s="115">
        <f t="shared" si="24"/>
        <v>48624</v>
      </c>
    </row>
    <row r="249">
      <c r="A249" s="88">
        <f>IFERROR(__xludf.DUMMYFUNCTION("""COMPUTED_VALUE"""),248.0)</f>
        <v>248</v>
      </c>
      <c r="B249" s="120" t="str">
        <f>IFERROR(__xludf.DUMMYFUNCTION("""COMPUTED_VALUE"""),"Ramaniyam Akshayam")</f>
        <v>Ramaniyam Akshayam</v>
      </c>
      <c r="C249" s="120">
        <f>IFERROR(__xludf.DUMMYFUNCTION("""COMPUTED_VALUE"""),5.5)</f>
        <v>5.5</v>
      </c>
      <c r="D249" s="119" t="str">
        <f>IFERROR(__xludf.DUMMYFUNCTION("""COMPUTED_VALUE"""),"Waiting for Net Meter")</f>
        <v>Waiting for Net Meter</v>
      </c>
      <c r="E249" s="115">
        <f>IFERROR(__xludf.DUMMYFUNCTION("IMPORTRANGE(""https://docs.google.com/spreadsheets/d/1cdYZmcFQWOPJm6JPxbfHsS2qmRERMoJ62Zl2-NsMSug/edit?gid=0#gid=0"",""Project details!B12"")"),290671.0)</f>
        <v>290671</v>
      </c>
      <c r="F249" s="115">
        <f>IFERROR(__xludf.DUMMYFUNCTION("IMPORTRANGE(""https://docs.google.com/spreadsheets/d/1cdYZmcFQWOPJm6JPxbfHsS2qmRERMoJ62Zl2-NsMSug/edit?gid=0#gid=0"",""Project details!B13"")"),227657.08000000002)</f>
        <v>227657.08</v>
      </c>
      <c r="G249" s="116">
        <f>IFERROR(__xludf.DUMMYFUNCTION("IMPORTRANGE(""https://docs.google.com/spreadsheets/d/1cdYZmcFQWOPJm6JPxbfHsS2qmRERMoJ62Zl2-NsMSug/edit?gid=0#gid=0"",""Project details!D12"")"),0.1)</f>
        <v>0.1</v>
      </c>
      <c r="H249" s="116">
        <f>IFERROR(__xludf.DUMMYFUNCTION("IMPORTRANGE(""https://docs.google.com/spreadsheets/d/1cdYZmcFQWOPJm6JPxbfHsS2qmRERMoJ62Zl2-NsMSug/edit?gid=0#gid=0"",""Project details!D13"")"),0.21678777724644008)</f>
        <v>0.2167877772</v>
      </c>
      <c r="I249" s="118">
        <v>2026.0</v>
      </c>
      <c r="J249" s="115">
        <f>(E249-F249)</f>
        <v>63013.92</v>
      </c>
    </row>
    <row r="250">
      <c r="A250" s="88">
        <f>IFERROR(__xludf.DUMMYFUNCTION("""COMPUTED_VALUE"""),249.0)</f>
        <v>249</v>
      </c>
      <c r="B250" s="120" t="str">
        <f>IFERROR(__xludf.DUMMYFUNCTION("""COMPUTED_VALUE"""),"Ramaniyam Radika")</f>
        <v>Ramaniyam Radika</v>
      </c>
      <c r="C250" s="120">
        <f>IFERROR(__xludf.DUMMYFUNCTION("""COMPUTED_VALUE"""),4.4)</f>
        <v>4.4</v>
      </c>
      <c r="D250" s="119" t="str">
        <f>IFERROR(__xludf.DUMMYFUNCTION("""COMPUTED_VALUE"""),"Waiting for Net Meter")</f>
        <v>Waiting for Net Meter</v>
      </c>
      <c r="E250" s="115">
        <f>IFERROR(__xludf.DUMMYFUNCTION("IMPORTRANGE(""https://docs.google.com/spreadsheets/d/1og7TemHKWbiV2jZhmE2_ls_Yy6K0OuVqksM6JfEeBzw/edit?gid=0#gid=0"",""Project details!B12"")"),224989.0)</f>
        <v>224989</v>
      </c>
      <c r="F250" s="115">
        <f>IFERROR(__xludf.DUMMYFUNCTION("IMPORTRANGE(""https://docs.google.com/spreadsheets/d/1og7TemHKWbiV2jZhmE2_ls_Yy6K0OuVqksM6JfEeBzw/edit?gid=0#gid=0"",""Project details!B13"")"),167986.3)</f>
        <v>167986.3</v>
      </c>
      <c r="G250" s="116">
        <f>IFERROR(__xludf.DUMMYFUNCTION("IMPORTRANGE(""https://docs.google.com/spreadsheets/d/1og7TemHKWbiV2jZhmE2_ls_Yy6K0OuVqksM6JfEeBzw/edit?gid=0#gid=0"",""Project details!D12"")"),0.1)</f>
        <v>0.1</v>
      </c>
      <c r="H250" s="116">
        <f>IFERROR(__xludf.DUMMYFUNCTION("IMPORTRANGE(""https://docs.google.com/spreadsheets/d/1og7TemHKWbiV2jZhmE2_ls_Yy6K0OuVqksM6JfEeBzw/edit?gid=0#gid=0"",""Project details!D13"")"),0.25335771971074145)</f>
        <v>0.2533577197</v>
      </c>
      <c r="I250" s="118">
        <v>2026.0</v>
      </c>
      <c r="J250" s="115">
        <f t="shared" ref="J250:J251" si="25">E250-F250</f>
        <v>57002.7</v>
      </c>
    </row>
    <row r="251">
      <c r="A251" s="120">
        <f>IFERROR(__xludf.DUMMYFUNCTION("""COMPUTED_VALUE"""),250.0)</f>
        <v>250</v>
      </c>
      <c r="B251" s="120" t="str">
        <f>IFERROR(__xludf.DUMMYFUNCTION("""COMPUTED_VALUE"""),"M/s Deepa Balaji")</f>
        <v>M/s Deepa Balaji</v>
      </c>
      <c r="C251" s="120">
        <f>IFERROR(__xludf.DUMMYFUNCTION("""COMPUTED_VALUE"""),3.0)</f>
        <v>3</v>
      </c>
      <c r="D251" s="119" t="str">
        <f>IFERROR(__xludf.DUMMYFUNCTION("""COMPUTED_VALUE"""),"Completed")</f>
        <v>Completed</v>
      </c>
      <c r="E251" s="115">
        <f>IFERROR(__xludf.DUMMYFUNCTION("IMPORTRANGE(""https://docs.google.com/spreadsheets/d/1Sx4efGlHsKX5Gvz7vcYj-KQSArRrZV-FCTf5uAu_AqI/edit?gid=0#gid=0"",""Project details!B12"")"),210527.0)</f>
        <v>210527</v>
      </c>
      <c r="F251" s="115">
        <f>IFERROR(__xludf.DUMMYFUNCTION("IMPORTRANGE(""https://docs.google.com/spreadsheets/d/1Sx4efGlHsKX5Gvz7vcYj-KQSArRrZV-FCTf5uAu_AqI/edit?gid=0#gid=0"",""Project details!B13"")"),164705.83999999997)</f>
        <v>164705.84</v>
      </c>
      <c r="G251" s="116">
        <f>IFERROR(__xludf.DUMMYFUNCTION("IMPORTRANGE(""https://docs.google.com/spreadsheets/d/1Sx4efGlHsKX5Gvz7vcYj-KQSArRrZV-FCTf5uAu_AqI/edit?gid=0#gid=0"",""Project details!D12"")"),0.1)</f>
        <v>0.1</v>
      </c>
      <c r="H251" s="116">
        <f>IFERROR(__xludf.DUMMYFUNCTION("IMPORTRANGE(""https://docs.google.com/spreadsheets/d/1Sx4efGlHsKX5Gvz7vcYj-KQSArRrZV-FCTf5uAu_AqI/edit?gid=0#gid=0"",""Project details!D13"")"),0.21764980263814157)</f>
        <v>0.2176498026</v>
      </c>
      <c r="I251" s="118">
        <v>2026.0</v>
      </c>
      <c r="J251" s="115">
        <f t="shared" si="25"/>
        <v>45821.16</v>
      </c>
    </row>
    <row r="252">
      <c r="A252" s="120">
        <f>IFERROR(__xludf.DUMMYFUNCTION("""COMPUTED_VALUE"""),251.0)</f>
        <v>251</v>
      </c>
      <c r="B252" s="120" t="str">
        <f>IFERROR(__xludf.DUMMYFUNCTION("""COMPUTED_VALUE"""),"Mr Pradheep Boopathy")</f>
        <v>Mr Pradheep Boopathy</v>
      </c>
      <c r="C252" s="120">
        <f>IFERROR(__xludf.DUMMYFUNCTION("""COMPUTED_VALUE"""),3.0)</f>
        <v>3</v>
      </c>
      <c r="D252" s="119" t="str">
        <f>IFERROR(__xludf.DUMMYFUNCTION("""COMPUTED_VALUE"""),"Completed")</f>
        <v>Completed</v>
      </c>
      <c r="E252" s="115">
        <f>IFERROR(__xludf.DUMMYFUNCTION("IMPORTRANGE(""https://docs.google.com/spreadsheets/d/1ECm5JMrL4X2cOOoBOWrCA_qusD2x-G9D20xFFQiuIzI/edit?gid=0#gid=0"",""Project details!B12"")"),210527.0)</f>
        <v>210527</v>
      </c>
      <c r="F252" s="115">
        <f>IFERROR(__xludf.DUMMYFUNCTION("IMPORTRANGE(""https://docs.google.com/spreadsheets/d/1ECm5JMrL4X2cOOoBOWrCA_qusD2x-G9D20xFFQiuIzI/edit?gid=0#gid=0"",""Project details!B13"")"),162022.23999999996)</f>
        <v>162022.24</v>
      </c>
      <c r="G252" s="116">
        <f>IFERROR(__xludf.DUMMYFUNCTION("IMPORTRANGE(""https://docs.google.com/spreadsheets/d/1ECm5JMrL4X2cOOoBOWrCA_qusD2x-G9D20xFFQiuIzI/edit?gid=0#gid=0"",""Project details!D12"")"),0.1)</f>
        <v>0.1</v>
      </c>
      <c r="H252" s="116">
        <f>IFERROR(__xludf.DUMMYFUNCTION("IMPORTRANGE(""https://docs.google.com/spreadsheets/d/1ECm5JMrL4X2cOOoBOWrCA_qusD2x-G9D20xFFQiuIzI/edit?gid=0#gid=0"",""Project details!D13"")"),0.23039686121020125)</f>
        <v>0.2303968612</v>
      </c>
      <c r="I252" s="118">
        <v>2026.0</v>
      </c>
      <c r="J252" s="115">
        <f>(E252-F252)</f>
        <v>48504.76</v>
      </c>
    </row>
    <row r="253">
      <c r="A253" s="88">
        <f>IFERROR(__xludf.DUMMYFUNCTION("""COMPUTED_VALUE"""),252.0)</f>
        <v>252</v>
      </c>
      <c r="B253" s="120" t="str">
        <f>IFERROR(__xludf.DUMMYFUNCTION("""COMPUTED_VALUE"""),"Mr Murali")</f>
        <v>Mr Murali</v>
      </c>
      <c r="C253" s="120">
        <f>IFERROR(__xludf.DUMMYFUNCTION("""COMPUTED_VALUE"""),4.8)</f>
        <v>4.8</v>
      </c>
      <c r="D253" s="119" t="str">
        <f>IFERROR(__xludf.DUMMYFUNCTION("""COMPUTED_VALUE"""),"Completed")</f>
        <v>Completed</v>
      </c>
      <c r="E253" s="115">
        <f>IFERROR(__xludf.DUMMYFUNCTION("IMPORTRANGE(""https://docs.google.com/spreadsheets/d/1AQ1VR8qIzTncsqLTcA88F_ljDoYE0xZpC1Qhk7Xvatw/edit?gid=0#gid=0"",""Project details!B12"")"),347601.0)</f>
        <v>347601</v>
      </c>
      <c r="F253" s="115">
        <f>IFERROR(__xludf.DUMMYFUNCTION("IMPORTRANGE(""https://docs.google.com/spreadsheets/d/1AQ1VR8qIzTncsqLTcA88F_ljDoYE0xZpC1Qhk7Xvatw/edit?gid=0#gid=0"",""Project details!B13"")"),237187.59999999998)</f>
        <v>237187.6</v>
      </c>
      <c r="G253" s="116">
        <f>IFERROR(__xludf.DUMMYFUNCTION("IMPORTRANGE(""https://docs.google.com/spreadsheets/d/1AQ1VR8qIzTncsqLTcA88F_ljDoYE0xZpC1Qhk7Xvatw/edit?gid=0#gid=0"",""Project details!D12"")"),0.1)</f>
        <v>0.1</v>
      </c>
      <c r="H253" s="116">
        <f>IFERROR(__xludf.DUMMYFUNCTION("IMPORTRANGE(""https://docs.google.com/spreadsheets/d/1AQ1VR8qIzTncsqLTcA88F_ljDoYE0xZpC1Qhk7Xvatw/edit?gid=0#gid=0"",""Project details!D13"")"),0.3176440804255454)</f>
        <v>0.3176440804</v>
      </c>
      <c r="I253" s="118">
        <v>2026.0</v>
      </c>
      <c r="J253" s="115">
        <f t="shared" ref="J253:J255" si="26">E253-F253</f>
        <v>110413.4</v>
      </c>
    </row>
    <row r="254">
      <c r="A254" s="88">
        <f>IFERROR(__xludf.DUMMYFUNCTION("""COMPUTED_VALUE"""),253.0)</f>
        <v>253</v>
      </c>
      <c r="B254" s="120" t="str">
        <f>IFERROR(__xludf.DUMMYFUNCTION("""COMPUTED_VALUE"""),"Ramaniyam Lakshmi")</f>
        <v>Ramaniyam Lakshmi</v>
      </c>
      <c r="C254" s="120">
        <f>IFERROR(__xludf.DUMMYFUNCTION("""COMPUTED_VALUE"""),4.4)</f>
        <v>4.4</v>
      </c>
      <c r="D254" s="119" t="str">
        <f>IFERROR(__xludf.DUMMYFUNCTION("""COMPUTED_VALUE"""),"On Progress")</f>
        <v>On Progress</v>
      </c>
      <c r="E254" s="115">
        <f>IFERROR(__xludf.DUMMYFUNCTION("IMPORTRANGE(""https://docs.google.com/spreadsheets/d/1p61lyKvRzSez0AB9RI0NuiLrt5sv7YfM0wrXGcyTCtM/edit?gid=1109846901#gid=1109846901"",""Project details!B12"")"),224989.0)</f>
        <v>224989</v>
      </c>
      <c r="F254" s="115">
        <f>IFERROR(__xludf.DUMMYFUNCTION("IMPORTRANGE(""https://docs.google.com/spreadsheets/d/1p61lyKvRzSez0AB9RI0NuiLrt5sv7YfM0wrXGcyTCtM/edit?gid=1109846901#gid=1109846901"",""Project details!B13"")"),148861.06)</f>
        <v>148861.06</v>
      </c>
      <c r="G254" s="116">
        <f>IFERROR(__xludf.DUMMYFUNCTION("IMPORTRANGE(""https://docs.google.com/spreadsheets/d/1p61lyKvRzSez0AB9RI0NuiLrt5sv7YfM0wrXGcyTCtM/edit?gid=1109846901#gid=1109846901"",""Project details!D12"")"),0.1)</f>
        <v>0.1</v>
      </c>
      <c r="H254" s="116">
        <f>IFERROR(__xludf.DUMMYFUNCTION("IMPORTRANGE(""https://docs.google.com/spreadsheets/d/1p61lyKvRzSez0AB9RI0NuiLrt5sv7YfM0wrXGcyTCtM/edit?gid=1109846901#gid=1109846901"",""Project details!D13"")"),0.3383629421882848)</f>
        <v>0.3383629422</v>
      </c>
      <c r="I254" s="118">
        <v>2026.0</v>
      </c>
      <c r="J254" s="115">
        <f t="shared" si="26"/>
        <v>76127.94</v>
      </c>
    </row>
    <row r="255">
      <c r="A255" s="120">
        <f>IFERROR(__xludf.DUMMYFUNCTION("""COMPUTED_VALUE"""),254.0)</f>
        <v>254</v>
      </c>
      <c r="B255" s="120" t="str">
        <f>IFERROR(__xludf.DUMMYFUNCTION("""COMPUTED_VALUE"""),"Navins Starwood Towers Phase III")</f>
        <v>Navins Starwood Towers Phase III</v>
      </c>
      <c r="C255" s="120">
        <f>IFERROR(__xludf.DUMMYFUNCTION("""COMPUTED_VALUE"""),36.0)</f>
        <v>36</v>
      </c>
      <c r="D255" s="119" t="str">
        <f>IFERROR(__xludf.DUMMYFUNCTION("""COMPUTED_VALUE"""),"Yet to Start")</f>
        <v>Yet to Start</v>
      </c>
      <c r="E255" s="115">
        <f>IFERROR(__xludf.DUMMYFUNCTION("IMPORTRANGE(""https://docs.google.com/spreadsheets/d/1O8KH-aZEqsD72YJc5sX-mbRLeAyGY3ZvXsLTI9zxdK8/edit?gid=0#gid=0"",""Project details!B12"")"),1366267.0)</f>
        <v>1366267</v>
      </c>
      <c r="F255" s="115">
        <f>IFERROR(__xludf.DUMMYFUNCTION("IMPORTRANGE(""https://docs.google.com/spreadsheets/d/1O8KH-aZEqsD72YJc5sX-mbRLeAyGY3ZvXsLTI9zxdK8/edit?gid=0#gid=0"",""Project details!B13"")"),1139746.9000000001)</f>
        <v>1139746.9</v>
      </c>
      <c r="G255" s="116">
        <f>IFERROR(__xludf.DUMMYFUNCTION("IMPORTRANGE(""https://docs.google.com/spreadsheets/d/1O8KH-aZEqsD72YJc5sX-mbRLeAyGY3ZvXsLTI9zxdK8/edit?gid=0#gid=0"",""Project details!D12"")"),0.15)</f>
        <v>0.15</v>
      </c>
      <c r="H255" s="116">
        <f>IFERROR(__xludf.DUMMYFUNCTION("IMPORTRANGE(""https://docs.google.com/spreadsheets/d/1O8KH-aZEqsD72YJc5sX-mbRLeAyGY3ZvXsLTI9zxdK8/edit?gid=0#gid=0"",""Project details!D13"")"),0.16579489953281448)</f>
        <v>0.1657948995</v>
      </c>
      <c r="I255" s="118">
        <v>2026.0</v>
      </c>
      <c r="J255" s="115">
        <f t="shared" si="26"/>
        <v>226520.1</v>
      </c>
    </row>
    <row r="256">
      <c r="A256" s="120">
        <f>IFERROR(__xludf.DUMMYFUNCTION("""COMPUTED_VALUE"""),255.0)</f>
        <v>255</v>
      </c>
      <c r="B256" s="120" t="str">
        <f>IFERROR(__xludf.DUMMYFUNCTION("""COMPUTED_VALUE"""),"Dra Downtown")</f>
        <v>Dra Downtown</v>
      </c>
      <c r="C256" s="120">
        <f>IFERROR(__xludf.DUMMYFUNCTION("""COMPUTED_VALUE"""),72.0)</f>
        <v>72</v>
      </c>
      <c r="D256" s="119" t="str">
        <f>IFERROR(__xludf.DUMMYFUNCTION("""COMPUTED_VALUE"""),"Holding from client")</f>
        <v>Holding from client</v>
      </c>
      <c r="E256" s="115">
        <f>IFERROR(__xludf.DUMMYFUNCTION("IMPORTRANGE(""https://docs.google.com/spreadsheets/d/1LuP1bN5WgDCk9IDxJ-3rAao7nnAFC9_buAx1-TXjfAw/edit?gid=0#gid=0"",""Project details!B12"")"),2665123.0)</f>
        <v>2665123</v>
      </c>
      <c r="F256" s="115">
        <f>IFERROR(__xludf.DUMMYFUNCTION("IMPORTRANGE(""https://docs.google.com/spreadsheets/d/1LuP1bN5WgDCk9IDxJ-3rAao7nnAFC9_buAx1-TXjfAw/edit?gid=0#gid=0"",""Project details!B13"")"),234402.3)</f>
        <v>234402.3</v>
      </c>
      <c r="G256" s="116">
        <f>IFERROR(__xludf.DUMMYFUNCTION("IMPORTRANGE(""https://docs.google.com/spreadsheets/d/1LuP1bN5WgDCk9IDxJ-3rAao7nnAFC9_buAx1-TXjfAw/edit?gid=0#gid=0"",""Project details!D12"")"),0.1)</f>
        <v>0.1</v>
      </c>
      <c r="H256" s="116">
        <f>IFERROR(__xludf.DUMMYFUNCTION("IMPORTRANGE(""https://docs.google.com/spreadsheets/d/1LuP1bN5WgDCk9IDxJ-3rAao7nnAFC9_buAx1-TXjfAw/edit?gid=0#gid=0"",""Project details!D13"")"),0.9120482244159088)</f>
        <v>0.9120482244</v>
      </c>
      <c r="I256" s="118">
        <v>2026.0</v>
      </c>
      <c r="J256" s="115">
        <f>(E256-F256)</f>
        <v>2430720.7</v>
      </c>
    </row>
    <row r="257">
      <c r="A257" s="120">
        <f>IFERROR(__xludf.DUMMYFUNCTION("""COMPUTED_VALUE"""),256.0)</f>
        <v>256</v>
      </c>
      <c r="B257" s="120" t="str">
        <f>IFERROR(__xludf.DUMMYFUNCTION("""COMPUTED_VALUE"""),"M/s Jayanthi")</f>
        <v>M/s Jayanthi</v>
      </c>
      <c r="C257" s="120">
        <f>IFERROR(__xludf.DUMMYFUNCTION("""COMPUTED_VALUE"""),5.0)</f>
        <v>5</v>
      </c>
      <c r="D257" s="119" t="str">
        <f>IFERROR(__xludf.DUMMYFUNCTION("""COMPUTED_VALUE"""),"Yet to Start")</f>
        <v>Yet to Start</v>
      </c>
      <c r="E257" s="115">
        <f>IFERROR(__xludf.DUMMYFUNCTION("IMPORTRANGE(""https://docs.google.com/spreadsheets/d/1-QqdZf5lDl6SZYq7BGhgkz-u0q4_e57VEIiXqt8DIfk/edit?gid=0#gid=0"",""Project details!B12"")"),588410.0)</f>
        <v>588410</v>
      </c>
      <c r="F257" s="115">
        <f>IFERROR(__xludf.DUMMYFUNCTION("IMPORTRANGE(""https://docs.google.com/spreadsheets/d/1-QqdZf5lDl6SZYq7BGhgkz-u0q4_e57VEIiXqt8DIfk/edit?gid=0#gid=0"",""Project details!B13"")"),283090.30000000005)</f>
        <v>283090.3</v>
      </c>
      <c r="G257" s="116">
        <f>IFERROR(__xludf.DUMMYFUNCTION("IMPORTRANGE(""https://docs.google.com/spreadsheets/d/1-QqdZf5lDl6SZYq7BGhgkz-u0q4_e57VEIiXqt8DIfk/edit?gid=0#gid=0"",""Project details!D12"")"),0.1)</f>
        <v>0.1</v>
      </c>
      <c r="H257" s="116">
        <f>IFERROR(__xludf.DUMMYFUNCTION("IMPORTRANGE(""https://docs.google.com/spreadsheets/d/1-QqdZf5lDl6SZYq7BGhgkz-u0q4_e57VEIiXqt8DIfk/edit?gid=0#gid=0"",""Project details!D13"")"),0.5188893798541833)</f>
        <v>0.5188893799</v>
      </c>
      <c r="I257" s="118">
        <v>2026.0</v>
      </c>
      <c r="J257" s="115">
        <f t="shared" ref="J257:J267" si="27">E257-F257</f>
        <v>305319.7</v>
      </c>
    </row>
    <row r="258">
      <c r="A258" s="120">
        <f>IFERROR(__xludf.DUMMYFUNCTION("""COMPUTED_VALUE"""),257.0)</f>
        <v>257</v>
      </c>
      <c r="B258" s="120" t="str">
        <f>IFERROR(__xludf.DUMMYFUNCTION("""COMPUTED_VALUE"""),"Mr Swaminathan")</f>
        <v>Mr Swaminathan</v>
      </c>
      <c r="C258" s="120">
        <f>IFERROR(__xludf.DUMMYFUNCTION("""COMPUTED_VALUE"""),6.0)</f>
        <v>6</v>
      </c>
      <c r="D258" s="119" t="str">
        <f>IFERROR(__xludf.DUMMYFUNCTION("""COMPUTED_VALUE"""),"Yet to Start")</f>
        <v>Yet to Start</v>
      </c>
      <c r="E258" s="115">
        <f>IFERROR(__xludf.DUMMYFUNCTION("IMPORTRANGE(""https://docs.google.com/spreadsheets/d/1qPmLU-QOiZhfClz4j78kBWuW6fP7W6W9LbKKiJ49GG0/edit?gid=0#gid=0"",""Project details!B12"")"),435000.0)</f>
        <v>435000</v>
      </c>
      <c r="F258" s="115">
        <f>IFERROR(__xludf.DUMMYFUNCTION("IMPORTRANGE(""https://docs.google.com/spreadsheets/d/1qPmLU-QOiZhfClz4j78kBWuW6fP7W6W9LbKKiJ49GG0/edit?gid=0#gid=0"",""Project details!B13"")"),312247.3)</f>
        <v>312247.3</v>
      </c>
      <c r="G258" s="116">
        <f>IFERROR(__xludf.DUMMYFUNCTION("IMPORTRANGE(""https://docs.google.com/spreadsheets/d/1qPmLU-QOiZhfClz4j78kBWuW6fP7W6W9LbKKiJ49GG0/edit?gid=0#gid=0"",""Project details!D12"")"),0.1)</f>
        <v>0.1</v>
      </c>
      <c r="H258" s="116">
        <f>IFERROR(__xludf.DUMMYFUNCTION("IMPORTRANGE(""https://docs.google.com/spreadsheets/d/1qPmLU-QOiZhfClz4j78kBWuW6fP7W6W9LbKKiJ49GG0/edit?gid=0#gid=0"",""Project details!D13"")"),0.28219011494252877)</f>
        <v>0.2821901149</v>
      </c>
      <c r="I258" s="118">
        <v>2026.0</v>
      </c>
      <c r="J258" s="115">
        <f t="shared" si="27"/>
        <v>122752.7</v>
      </c>
    </row>
    <row r="259">
      <c r="A259" s="120">
        <f>IFERROR(__xludf.DUMMYFUNCTION("""COMPUTED_VALUE"""),258.0)</f>
        <v>258</v>
      </c>
      <c r="B259" s="120" t="str">
        <f>IFERROR(__xludf.DUMMYFUNCTION("""COMPUTED_VALUE"""),"M/s Uma Maheshwari")</f>
        <v>M/s Uma Maheshwari</v>
      </c>
      <c r="C259" s="120">
        <f>IFERROR(__xludf.DUMMYFUNCTION("""COMPUTED_VALUE"""),5.0)</f>
        <v>5</v>
      </c>
      <c r="D259" s="119" t="str">
        <f>IFERROR(__xludf.DUMMYFUNCTION("""COMPUTED_VALUE"""),"Yet to Start")</f>
        <v>Yet to Start</v>
      </c>
      <c r="E259" s="115">
        <f>IFERROR(__xludf.DUMMYFUNCTION("IMPORTRANGE(""https://docs.google.com/spreadsheets/d/12EeOJUictCUyWSdxRCu4DIZo0dMsxW-rVC3WgL4Gyx8/edit?gid=0#gid=0"",""Project details!B12"")"),315000.0)</f>
        <v>315000</v>
      </c>
      <c r="F259" s="115">
        <f>IFERROR(__xludf.DUMMYFUNCTION("IMPORTRANGE(""https://docs.google.com/spreadsheets/d/12EeOJUictCUyWSdxRCu4DIZo0dMsxW-rVC3WgL4Gyx8/edit?gid=0#gid=0"",""Project details!B13"")"),256793.4)</f>
        <v>256793.4</v>
      </c>
      <c r="G259" s="116">
        <f>IFERROR(__xludf.DUMMYFUNCTION("IMPORTRANGE(""https://docs.google.com/spreadsheets/d/12EeOJUictCUyWSdxRCu4DIZo0dMsxW-rVC3WgL4Gyx8/edit?gid=0#gid=0"",""Project details!D12"")"),0.1)</f>
        <v>0.1</v>
      </c>
      <c r="H259" s="116">
        <f>IFERROR(__xludf.DUMMYFUNCTION("IMPORTRANGE(""https://docs.google.com/spreadsheets/d/12EeOJUictCUyWSdxRCu4DIZo0dMsxW-rVC3WgL4Gyx8/edit?gid=0#gid=0"",""Project details!D13"")"),0.18478285714285717)</f>
        <v>0.1847828571</v>
      </c>
      <c r="I259" s="118">
        <v>2026.0</v>
      </c>
      <c r="J259" s="115">
        <f t="shared" si="27"/>
        <v>58206.6</v>
      </c>
    </row>
    <row r="260">
      <c r="A260" s="120">
        <f>IFERROR(__xludf.DUMMYFUNCTION("""COMPUTED_VALUE"""),259.0)</f>
        <v>259</v>
      </c>
      <c r="B260" s="120" t="str">
        <f>IFERROR(__xludf.DUMMYFUNCTION("""COMPUTED_VALUE"""),"M/s V J Saraswathi")</f>
        <v>M/s V J Saraswathi</v>
      </c>
      <c r="C260" s="120">
        <f>IFERROR(__xludf.DUMMYFUNCTION("""COMPUTED_VALUE"""),3.0)</f>
        <v>3</v>
      </c>
      <c r="D260" s="119" t="str">
        <f>IFERROR(__xludf.DUMMYFUNCTION("""COMPUTED_VALUE"""),"Yet to Start")</f>
        <v>Yet to Start</v>
      </c>
      <c r="E260" s="115">
        <f>IFERROR(__xludf.DUMMYFUNCTION("IMPORTRANGE(""https://docs.google.com/spreadsheets/d/1kgV2Ujd7m6DT-xnv3lRH8YfKN-Ssb9gE-dhIg7A11h4/edit?gid=0#gid=0"",""Project details!B12"")"),206000.0)</f>
        <v>206000</v>
      </c>
      <c r="F260" s="115">
        <f>IFERROR(__xludf.DUMMYFUNCTION("IMPORTRANGE(""https://docs.google.com/spreadsheets/d/1kgV2Ujd7m6DT-xnv3lRH8YfKN-Ssb9gE-dhIg7A11h4/edit?gid=0#gid=0"",""Project details!B13"")"),162393.06)</f>
        <v>162393.06</v>
      </c>
      <c r="G260" s="116">
        <f>IFERROR(__xludf.DUMMYFUNCTION("IMPORTRANGE(""https://docs.google.com/spreadsheets/d/1kgV2Ujd7m6DT-xnv3lRH8YfKN-Ssb9gE-dhIg7A11h4/edit?gid=0#gid=0"",""Project details!D12"")"),0.1)</f>
        <v>0.1</v>
      </c>
      <c r="H260" s="116">
        <f>IFERROR(__xludf.DUMMYFUNCTION("IMPORTRANGE(""https://docs.google.com/spreadsheets/d/1kgV2Ujd7m6DT-xnv3lRH8YfKN-Ssb9gE-dhIg7A11h4/edit?gid=0#gid=0"",""Project details!D13"")"),0.21168417475728157)</f>
        <v>0.2116841748</v>
      </c>
      <c r="I260" s="118">
        <v>2026.0</v>
      </c>
      <c r="J260" s="115">
        <f t="shared" si="27"/>
        <v>43606.94</v>
      </c>
    </row>
    <row r="261">
      <c r="A261" s="120">
        <f>IFERROR(__xludf.DUMMYFUNCTION("""COMPUTED_VALUE"""),260.0)</f>
        <v>260</v>
      </c>
      <c r="B261" s="120" t="str">
        <f>IFERROR(__xludf.DUMMYFUNCTION("""COMPUTED_VALUE"""),"Mr Sri Kumar")</f>
        <v>Mr Sri Kumar</v>
      </c>
      <c r="C261" s="120">
        <f>IFERROR(__xludf.DUMMYFUNCTION("""COMPUTED_VALUE"""),11.0)</f>
        <v>11</v>
      </c>
      <c r="D261" s="119" t="str">
        <f>IFERROR(__xludf.DUMMYFUNCTION("""COMPUTED_VALUE"""),"Waiting for Net Meter")</f>
        <v>Waiting for Net Meter</v>
      </c>
      <c r="E261" s="115">
        <f>IFERROR(__xludf.DUMMYFUNCTION("IMPORTRANGE(""https://docs.google.com/spreadsheets/d/1QE4zAIUZDbqUF1oILUywHI5cLr1u-aSXnAwM41P3e9k/edit?gid=0#gid=0"",""Project details!B12"")"),722634.0)</f>
        <v>722634</v>
      </c>
      <c r="F261" s="115">
        <f>IFERROR(__xludf.DUMMYFUNCTION("IMPORTRANGE(""https://docs.google.com/spreadsheets/d/1QE4zAIUZDbqUF1oILUywHI5cLr1u-aSXnAwM41P3e9k/edit?gid=0#gid=0"",""Project details!B13"")"),593762.5)</f>
        <v>593762.5</v>
      </c>
      <c r="G261" s="116">
        <f>IFERROR(__xludf.DUMMYFUNCTION("IMPORTRANGE(""https://docs.google.com/spreadsheets/d/1QE4zAIUZDbqUF1oILUywHI5cLr1u-aSXnAwM41P3e9k/edit?gid=0#gid=0"",""Project details!D12"")"),0.15)</f>
        <v>0.15</v>
      </c>
      <c r="H261" s="116">
        <f>IFERROR(__xludf.DUMMYFUNCTION("IMPORTRANGE(""https://docs.google.com/spreadsheets/d/1QE4zAIUZDbqUF1oILUywHI5cLr1u-aSXnAwM41P3e9k/edit?gid=0#gid=0"",""Project details!D13"")"),0.17833578270604483)</f>
        <v>0.1783357827</v>
      </c>
      <c r="I261" s="118">
        <v>2026.0</v>
      </c>
      <c r="J261" s="115">
        <f t="shared" si="27"/>
        <v>128871.5</v>
      </c>
    </row>
    <row r="262">
      <c r="A262" s="120">
        <f>IFERROR(__xludf.DUMMYFUNCTION("""COMPUTED_VALUE"""),261.0)</f>
        <v>261</v>
      </c>
      <c r="B262" s="120" t="str">
        <f>IFERROR(__xludf.DUMMYFUNCTION("""COMPUTED_VALUE"""),"BCPL Anusham")</f>
        <v>BCPL Anusham</v>
      </c>
      <c r="C262" s="120">
        <f>IFERROR(__xludf.DUMMYFUNCTION("""COMPUTED_VALUE"""),5.0)</f>
        <v>5</v>
      </c>
      <c r="D262" s="119" t="str">
        <f>IFERROR(__xludf.DUMMYFUNCTION("""COMPUTED_VALUE"""),"Yet to Start")</f>
        <v>Yet to Start</v>
      </c>
      <c r="E262" s="115">
        <f>IFERROR(__xludf.DUMMYFUNCTION("IMPORTRANGE(""https://docs.google.com/spreadsheets/d/1X56eoZFgaX2HQIj227yVdbbkLkPWACCD1PtQUYhUwOI/edit?gid=0#gid=0"",""Project details!B12"")"),352750.0)</f>
        <v>352750</v>
      </c>
      <c r="F262" s="115">
        <f>IFERROR(__xludf.DUMMYFUNCTION("IMPORTRANGE(""https://docs.google.com/spreadsheets/d/1X56eoZFgaX2HQIj227yVdbbkLkPWACCD1PtQUYhUwOI/edit?gid=0#gid=0"",""Project details!B13"")"),233192.59999999998)</f>
        <v>233192.6</v>
      </c>
      <c r="G262" s="116">
        <f>IFERROR(__xludf.DUMMYFUNCTION("IMPORTRANGE(""https://docs.google.com/spreadsheets/d/1X56eoZFgaX2HQIj227yVdbbkLkPWACCD1PtQUYhUwOI/edit?gid=0#gid=0"",""Project details!D12"")"),0.1)</f>
        <v>0.1</v>
      </c>
      <c r="H262" s="116">
        <f>IFERROR(__xludf.DUMMYFUNCTION("IMPORTRANGE(""https://docs.google.com/spreadsheets/d/1X56eoZFgaX2HQIj227yVdbbkLkPWACCD1PtQUYhUwOI/edit?gid=0#gid=0"",""Project details!D13"")"),0.3389295535081503)</f>
        <v>0.3389295535</v>
      </c>
      <c r="I262" s="118">
        <v>2026.0</v>
      </c>
      <c r="J262" s="115">
        <f t="shared" si="27"/>
        <v>119557.4</v>
      </c>
    </row>
    <row r="263">
      <c r="A263" s="120">
        <f>IFERROR(__xludf.DUMMYFUNCTION("""COMPUTED_VALUE"""),262.0)</f>
        <v>262</v>
      </c>
      <c r="B263" s="120" t="str">
        <f>IFERROR(__xludf.DUMMYFUNCTION("""COMPUTED_VALUE"""),"BCPL Anusham / Arjun Prasath")</f>
        <v>BCPL Anusham / Arjun Prasath</v>
      </c>
      <c r="C263" s="120">
        <f>IFERROR(__xludf.DUMMYFUNCTION("""COMPUTED_VALUE"""),7.0)</f>
        <v>7</v>
      </c>
      <c r="D263" s="119" t="str">
        <f>IFERROR(__xludf.DUMMYFUNCTION("""COMPUTED_VALUE"""),"Yet to Start")</f>
        <v>Yet to Start</v>
      </c>
      <c r="E263" s="115">
        <f>IFERROR(__xludf.DUMMYFUNCTION("IMPORTRANGE(""https://docs.google.com/spreadsheets/d/142oNuVC9XwByGMaDMIKSWx1iAiM-rdXUUoopZfur1tU/edit?gid=0#gid=0"",""Project details!B12"")"),495000.0)</f>
        <v>495000</v>
      </c>
      <c r="F263" s="115">
        <f>IFERROR(__xludf.DUMMYFUNCTION("IMPORTRANGE(""https://docs.google.com/spreadsheets/d/142oNuVC9XwByGMaDMIKSWx1iAiM-rdXUUoopZfur1tU/edit?gid=0#gid=0"",""Project details!B13"")"),233192.59999999998)</f>
        <v>233192.6</v>
      </c>
      <c r="G263" s="116">
        <f>IFERROR(__xludf.DUMMYFUNCTION("IMPORTRANGE(""https://docs.google.com/spreadsheets/d/142oNuVC9XwByGMaDMIKSWx1iAiM-rdXUUoopZfur1tU/edit?gid=0#gid=0"",""Project details!D12"")"),0.1)</f>
        <v>0.1</v>
      </c>
      <c r="H263" s="116">
        <f>IFERROR(__xludf.DUMMYFUNCTION("IMPORTRANGE(""https://docs.google.com/spreadsheets/d/142oNuVC9XwByGMaDMIKSWx1iAiM-rdXUUoopZfur1tU/edit?gid=0#gid=0"",""Project details!D13"")"),0.5289038383838385)</f>
        <v>0.5289038384</v>
      </c>
      <c r="I263" s="118">
        <v>2026.0</v>
      </c>
      <c r="J263" s="115">
        <f t="shared" si="27"/>
        <v>261807.4</v>
      </c>
    </row>
    <row r="264">
      <c r="A264" s="120">
        <f>IFERROR(__xludf.DUMMYFUNCTION("""COMPUTED_VALUE"""),263.0)</f>
        <v>263</v>
      </c>
      <c r="B264" s="120" t="str">
        <f>IFERROR(__xludf.DUMMYFUNCTION("""COMPUTED_VALUE"""),"BCPL Anusham / Dhandapani")</f>
        <v>BCPL Anusham / Dhandapani</v>
      </c>
      <c r="C264" s="120">
        <f>IFERROR(__xludf.DUMMYFUNCTION("""COMPUTED_VALUE"""),2.3)</f>
        <v>2.3</v>
      </c>
      <c r="D264" s="119" t="str">
        <f>IFERROR(__xludf.DUMMYFUNCTION("""COMPUTED_VALUE"""),"Yet to Start")</f>
        <v>Yet to Start</v>
      </c>
      <c r="E264" s="115">
        <f>IFERROR(__xludf.DUMMYFUNCTION("IMPORTRANGE(""https://docs.google.com/spreadsheets/d/1C6Xd1aP-0YON4RBqR3loAv6pb4EG2enc2VTS8Ph8F54/edit?gid=0#gid=0"",""Project details!B12"")"),185851.0)</f>
        <v>185851</v>
      </c>
      <c r="F264" s="115">
        <f>IFERROR(__xludf.DUMMYFUNCTION("IMPORTRANGE(""https://docs.google.com/spreadsheets/d/1C6Xd1aP-0YON4RBqR3loAv6pb4EG2enc2VTS8Ph8F54/edit?gid=0#gid=0"",""Project details!B13"")"),233192.59999999998)</f>
        <v>233192.6</v>
      </c>
      <c r="G264" s="116">
        <f>IFERROR(__xludf.DUMMYFUNCTION("IMPORTRANGE(""https://docs.google.com/spreadsheets/d/1C6Xd1aP-0YON4RBqR3loAv6pb4EG2enc2VTS8Ph8F54/edit?gid=0#gid=0"",""Project details!D12"")"),0.1)</f>
        <v>0.1</v>
      </c>
      <c r="H264" s="116">
        <f>IFERROR(__xludf.DUMMYFUNCTION("IMPORTRANGE(""https://docs.google.com/spreadsheets/d/1C6Xd1aP-0YON4RBqR3loAv6pb4EG2enc2VTS8Ph8F54/edit?gid=0#gid=0"",""Project details!D13"")"),-0.25472878811521044)</f>
        <v>-0.2547287881</v>
      </c>
      <c r="I264" s="118">
        <v>2026.0</v>
      </c>
      <c r="J264" s="115">
        <f t="shared" si="27"/>
        <v>-47341.6</v>
      </c>
    </row>
    <row r="265">
      <c r="A265" s="120">
        <f>IFERROR(__xludf.DUMMYFUNCTION("""COMPUTED_VALUE"""),264.0)</f>
        <v>264</v>
      </c>
      <c r="B265" s="120" t="str">
        <f>IFERROR(__xludf.DUMMYFUNCTION("""COMPUTED_VALUE"""),"BCPL Anusham / Ramesh")</f>
        <v>BCPL Anusham / Ramesh</v>
      </c>
      <c r="C265" s="120">
        <f>IFERROR(__xludf.DUMMYFUNCTION("""COMPUTED_VALUE"""),2.3)</f>
        <v>2.3</v>
      </c>
      <c r="D265" s="119" t="str">
        <f>IFERROR(__xludf.DUMMYFUNCTION("""COMPUTED_VALUE"""),"Yet to Start")</f>
        <v>Yet to Start</v>
      </c>
      <c r="E265" s="115">
        <f>IFERROR(__xludf.DUMMYFUNCTION("IMPORTRANGE(""https://docs.google.com/spreadsheets/d/1MCzRJgHTiirpVkeH7QhOZorA2RNo5NH1qXFA6fD1QKU/edit?gid=0#gid=0"",""Project details!B12"")"),185851.0)</f>
        <v>185851</v>
      </c>
      <c r="F265" s="115">
        <f>IFERROR(__xludf.DUMMYFUNCTION("IMPORTRANGE(""https://docs.google.com/spreadsheets/d/1MCzRJgHTiirpVkeH7QhOZorA2RNo5NH1qXFA6fD1QKU/edit?gid=0#gid=0"",""Project details!B13"")"),233192.59999999998)</f>
        <v>233192.6</v>
      </c>
      <c r="G265" s="116">
        <f>IFERROR(__xludf.DUMMYFUNCTION("IMPORTRANGE(""https://docs.google.com/spreadsheets/d/1MCzRJgHTiirpVkeH7QhOZorA2RNo5NH1qXFA6fD1QKU/edit?gid=0#gid=0"",""Project details!D12"")"),0.1)</f>
        <v>0.1</v>
      </c>
      <c r="H265" s="116">
        <f>IFERROR(__xludf.DUMMYFUNCTION("IMPORTRANGE(""https://docs.google.com/spreadsheets/d/1MCzRJgHTiirpVkeH7QhOZorA2RNo5NH1qXFA6fD1QKU/edit?gid=0#gid=0"",""Project details!D13"")"),-0.25472878811521044)</f>
        <v>-0.2547287881</v>
      </c>
      <c r="I265" s="118">
        <v>2026.0</v>
      </c>
      <c r="J265" s="115">
        <f t="shared" si="27"/>
        <v>-47341.6</v>
      </c>
    </row>
    <row r="266">
      <c r="A266" s="120">
        <f>IFERROR(__xludf.DUMMYFUNCTION("""COMPUTED_VALUE"""),265.0)</f>
        <v>265</v>
      </c>
      <c r="B266" s="120" t="str">
        <f>IFERROR(__xludf.DUMMYFUNCTION("""COMPUTED_VALUE"""),"BCPL Anusham / Sri Bala")</f>
        <v>BCPL Anusham / Sri Bala</v>
      </c>
      <c r="C266" s="120">
        <f>IFERROR(__xludf.DUMMYFUNCTION("""COMPUTED_VALUE"""),5.0)</f>
        <v>5</v>
      </c>
      <c r="D266" s="119" t="str">
        <f>IFERROR(__xludf.DUMMYFUNCTION("""COMPUTED_VALUE"""),"Yet to Start")</f>
        <v>Yet to Start</v>
      </c>
      <c r="E266" s="115">
        <f>IFERROR(__xludf.DUMMYFUNCTION("IMPORTRANGE(""https://docs.google.com/spreadsheets/d/1jE-cGeqP06YCwo4pRVATcfexoa9ABjiJHgVA6PCuBXU/edit?gid=0#gid=0"",""Project details!B12"")"),352750.0)</f>
        <v>352750</v>
      </c>
      <c r="F266" s="115">
        <f>IFERROR(__xludf.DUMMYFUNCTION("IMPORTRANGE(""https://docs.google.com/spreadsheets/d/1jE-cGeqP06YCwo4pRVATcfexoa9ABjiJHgVA6PCuBXU/edit?gid=0#gid=0"",""Project details!B13"")"),233192.59999999998)</f>
        <v>233192.6</v>
      </c>
      <c r="G266" s="116">
        <f>IFERROR(__xludf.DUMMYFUNCTION("IMPORTRANGE(""https://docs.google.com/spreadsheets/d/1jE-cGeqP06YCwo4pRVATcfexoa9ABjiJHgVA6PCuBXU/edit?gid=0#gid=0"",""Project details!D12"")"),0.1)</f>
        <v>0.1</v>
      </c>
      <c r="H266" s="116">
        <f>IFERROR(__xludf.DUMMYFUNCTION("IMPORTRANGE(""https://docs.google.com/spreadsheets/d/1jE-cGeqP06YCwo4pRVATcfexoa9ABjiJHgVA6PCuBXU/edit?gid=0#gid=0"",""Project details!D13"")"),0.3389295535081503)</f>
        <v>0.3389295535</v>
      </c>
      <c r="I266" s="118">
        <v>2026.0</v>
      </c>
      <c r="J266" s="115">
        <f t="shared" si="27"/>
        <v>119557.4</v>
      </c>
    </row>
    <row r="267">
      <c r="A267" s="120">
        <f>IFERROR(__xludf.DUMMYFUNCTION("""COMPUTED_VALUE"""),266.0)</f>
        <v>266</v>
      </c>
      <c r="B267" s="120" t="str">
        <f>IFERROR(__xludf.DUMMYFUNCTION("""COMPUTED_VALUE"""),"DRA Infinique")</f>
        <v>DRA Infinique</v>
      </c>
      <c r="C267" s="120">
        <f>IFERROR(__xludf.DUMMYFUNCTION("""COMPUTED_VALUE"""),18.0)</f>
        <v>18</v>
      </c>
      <c r="D267" s="119" t="str">
        <f>IFERROR(__xludf.DUMMYFUNCTION("""COMPUTED_VALUE"""),"Yet to Start")</f>
        <v>Yet to Start</v>
      </c>
      <c r="E267" s="115">
        <f>IFERROR(__xludf.DUMMYFUNCTION("IMPORTRANGE(""https://docs.google.com/spreadsheets/d/119nqKiq4bzYsJekTwo1yjW0Ercjeb5by-q5pwVrEdi4/edit?gid=0#gid=0"",""Project details!B12"")"),439897.0)</f>
        <v>439897</v>
      </c>
      <c r="F267" s="115">
        <f>IFERROR(__xludf.DUMMYFUNCTION("IMPORTRANGE(""https://docs.google.com/spreadsheets/d/119nqKiq4bzYsJekTwo1yjW0Ercjeb5by-q5pwVrEdi4/edit?gid=0#gid=0"",""Project details!B13"")"),234232.3)</f>
        <v>234232.3</v>
      </c>
      <c r="G267" s="116">
        <f>IFERROR(__xludf.DUMMYFUNCTION("IMPORTRANGE(""https://docs.google.com/spreadsheets/d/119nqKiq4bzYsJekTwo1yjW0Ercjeb5by-q5pwVrEdi4/edit?gid=0#gid=0"",""Project details!D12"")"),0.1)</f>
        <v>0.1</v>
      </c>
      <c r="H267" s="116">
        <f>IFERROR(__xludf.DUMMYFUNCTION("IMPORTRANGE(""https://docs.google.com/spreadsheets/d/119nqKiq4bzYsJekTwo1yjW0Ercjeb5by-q5pwVrEdi4/edit?gid=0#gid=0"",""Project details!D13"")"),0.46752921706672246)</f>
        <v>0.4675292171</v>
      </c>
      <c r="I267" s="118">
        <v>2026.0</v>
      </c>
      <c r="J267" s="115">
        <f t="shared" si="27"/>
        <v>205664.7</v>
      </c>
    </row>
    <row r="268">
      <c r="A268" s="120"/>
      <c r="B268" s="120"/>
      <c r="C268" s="120"/>
      <c r="D268" s="119"/>
      <c r="E268" s="115"/>
      <c r="F268" s="115"/>
      <c r="G268" s="116"/>
      <c r="H268" s="116"/>
      <c r="I268" s="132"/>
      <c r="J268" s="115"/>
    </row>
    <row r="269">
      <c r="A269" s="120"/>
      <c r="B269" s="120"/>
      <c r="C269" s="120"/>
      <c r="D269" s="119"/>
      <c r="E269" s="115"/>
      <c r="F269" s="115"/>
      <c r="G269" s="116"/>
      <c r="H269" s="116"/>
      <c r="I269" s="132"/>
      <c r="J269" s="115"/>
    </row>
    <row r="270">
      <c r="A270" s="120"/>
      <c r="B270" s="120"/>
      <c r="C270" s="120"/>
      <c r="D270" s="119"/>
      <c r="E270" s="115"/>
      <c r="F270" s="115"/>
      <c r="G270" s="116"/>
      <c r="H270" s="116"/>
      <c r="I270" s="132"/>
      <c r="J270" s="115"/>
    </row>
    <row r="271">
      <c r="A271" s="120"/>
      <c r="B271" s="120"/>
      <c r="C271" s="120"/>
      <c r="D271" s="119"/>
      <c r="E271" s="115"/>
      <c r="F271" s="115"/>
      <c r="G271" s="116"/>
      <c r="H271" s="116"/>
      <c r="I271" s="132"/>
      <c r="J271" s="115"/>
    </row>
    <row r="272">
      <c r="A272" s="120"/>
      <c r="B272" s="120"/>
      <c r="C272" s="120"/>
      <c r="D272" s="119"/>
      <c r="E272" s="115"/>
      <c r="F272" s="115"/>
      <c r="G272" s="116"/>
      <c r="H272" s="116"/>
      <c r="I272" s="132"/>
      <c r="J272" s="115"/>
    </row>
    <row r="273">
      <c r="A273" s="120"/>
      <c r="B273" s="120"/>
      <c r="C273" s="120"/>
      <c r="D273" s="119"/>
      <c r="E273" s="115"/>
      <c r="F273" s="115"/>
      <c r="G273" s="116"/>
      <c r="H273" s="116"/>
      <c r="I273" s="132"/>
      <c r="J273" s="115"/>
    </row>
    <row r="274">
      <c r="A274" s="120"/>
      <c r="B274" s="120"/>
      <c r="C274" s="120"/>
      <c r="D274" s="119"/>
      <c r="E274" s="115"/>
      <c r="F274" s="115"/>
      <c r="G274" s="116"/>
      <c r="H274" s="116"/>
      <c r="I274" s="132"/>
      <c r="J274" s="115"/>
    </row>
    <row r="275">
      <c r="A275" s="120"/>
      <c r="B275" s="120"/>
      <c r="C275" s="120"/>
      <c r="D275" s="119"/>
      <c r="E275" s="115"/>
      <c r="F275" s="115"/>
      <c r="G275" s="116"/>
      <c r="H275" s="116"/>
      <c r="I275" s="132"/>
      <c r="J275" s="115"/>
    </row>
    <row r="276">
      <c r="A276" s="120"/>
      <c r="B276" s="120"/>
      <c r="C276" s="120"/>
      <c r="D276" s="119"/>
      <c r="E276" s="115"/>
      <c r="F276" s="115"/>
      <c r="G276" s="116"/>
      <c r="H276" s="116"/>
      <c r="I276" s="132"/>
      <c r="J276" s="115"/>
    </row>
    <row r="277">
      <c r="A277" s="120"/>
      <c r="B277" s="120"/>
      <c r="C277" s="120"/>
      <c r="D277" s="119"/>
      <c r="E277" s="115"/>
      <c r="F277" s="115"/>
      <c r="G277" s="116"/>
      <c r="H277" s="116"/>
      <c r="I277" s="132"/>
      <c r="J277" s="115"/>
    </row>
    <row r="278">
      <c r="A278" s="120"/>
      <c r="B278" s="120"/>
      <c r="C278" s="120"/>
      <c r="D278" s="119"/>
      <c r="E278" s="115"/>
      <c r="F278" s="115"/>
      <c r="G278" s="116"/>
      <c r="H278" s="116"/>
      <c r="I278" s="132"/>
      <c r="J278" s="115"/>
    </row>
    <row r="279">
      <c r="A279" s="120"/>
      <c r="B279" s="120"/>
      <c r="C279" s="120"/>
      <c r="D279" s="119"/>
      <c r="E279" s="115"/>
      <c r="F279" s="115"/>
      <c r="G279" s="116"/>
      <c r="H279" s="116"/>
      <c r="I279" s="132"/>
      <c r="J279" s="115"/>
    </row>
    <row r="280">
      <c r="A280" s="120"/>
      <c r="B280" s="120"/>
      <c r="C280" s="120"/>
      <c r="D280" s="119"/>
      <c r="E280" s="115"/>
      <c r="F280" s="115"/>
      <c r="G280" s="116"/>
      <c r="H280" s="116"/>
      <c r="I280" s="132"/>
      <c r="J280" s="115"/>
    </row>
    <row r="281">
      <c r="A281" s="120"/>
      <c r="B281" s="120"/>
      <c r="C281" s="120"/>
      <c r="D281" s="119"/>
      <c r="E281" s="115"/>
      <c r="F281" s="115"/>
      <c r="G281" s="116"/>
      <c r="H281" s="116"/>
      <c r="I281" s="132"/>
      <c r="J281" s="115"/>
    </row>
    <row r="282">
      <c r="A282" s="120"/>
      <c r="B282" s="120"/>
      <c r="C282" s="120"/>
      <c r="D282" s="119"/>
      <c r="E282" s="115"/>
      <c r="F282" s="115"/>
      <c r="G282" s="116"/>
      <c r="H282" s="116"/>
      <c r="I282" s="132"/>
      <c r="J282" s="115"/>
    </row>
    <row r="283">
      <c r="A283" s="120"/>
      <c r="B283" s="120"/>
      <c r="C283" s="120"/>
      <c r="D283" s="119"/>
      <c r="E283" s="115"/>
      <c r="F283" s="115"/>
      <c r="G283" s="116"/>
      <c r="H283" s="116"/>
      <c r="I283" s="132"/>
      <c r="J283" s="115"/>
    </row>
    <row r="284">
      <c r="A284" s="120"/>
      <c r="B284" s="120"/>
      <c r="C284" s="120"/>
      <c r="D284" s="119"/>
      <c r="E284" s="115"/>
      <c r="F284" s="115"/>
      <c r="G284" s="116"/>
      <c r="H284" s="116"/>
      <c r="I284" s="132"/>
      <c r="J284" s="115"/>
    </row>
    <row r="285">
      <c r="A285" s="120"/>
      <c r="B285" s="120"/>
      <c r="C285" s="120"/>
      <c r="D285" s="119"/>
      <c r="E285" s="115"/>
      <c r="F285" s="115"/>
      <c r="G285" s="116"/>
      <c r="H285" s="116"/>
      <c r="I285" s="132"/>
      <c r="J285" s="115"/>
    </row>
    <row r="286">
      <c r="A286" s="120"/>
      <c r="B286" s="120"/>
      <c r="C286" s="120"/>
      <c r="D286" s="119"/>
      <c r="E286" s="115"/>
      <c r="F286" s="115"/>
      <c r="G286" s="116"/>
      <c r="H286" s="116"/>
      <c r="I286" s="132"/>
      <c r="J286" s="115"/>
    </row>
    <row r="287">
      <c r="A287" s="120"/>
      <c r="B287" s="120"/>
      <c r="C287" s="120"/>
      <c r="D287" s="119"/>
      <c r="E287" s="115"/>
      <c r="F287" s="115"/>
      <c r="G287" s="116"/>
      <c r="H287" s="116"/>
      <c r="I287" s="132"/>
      <c r="J287" s="115"/>
    </row>
    <row r="288">
      <c r="A288" s="120"/>
      <c r="B288" s="120"/>
      <c r="C288" s="120"/>
      <c r="D288" s="119"/>
      <c r="E288" s="115"/>
      <c r="F288" s="115"/>
      <c r="G288" s="116"/>
      <c r="H288" s="116"/>
      <c r="I288" s="132"/>
      <c r="J288" s="115"/>
    </row>
    <row r="289">
      <c r="A289" s="120"/>
      <c r="B289" s="120"/>
      <c r="C289" s="120"/>
      <c r="D289" s="119"/>
      <c r="E289" s="115"/>
      <c r="F289" s="115"/>
      <c r="G289" s="116"/>
      <c r="H289" s="116"/>
      <c r="I289" s="132"/>
      <c r="J289" s="115"/>
    </row>
    <row r="290">
      <c r="A290" s="120"/>
      <c r="B290" s="120"/>
      <c r="C290" s="120"/>
      <c r="D290" s="119"/>
      <c r="E290" s="115"/>
      <c r="F290" s="115"/>
      <c r="G290" s="116"/>
      <c r="H290" s="116"/>
      <c r="I290" s="132"/>
      <c r="J290" s="115"/>
    </row>
    <row r="291">
      <c r="A291" s="120"/>
      <c r="B291" s="120"/>
      <c r="C291" s="120"/>
      <c r="D291" s="119"/>
      <c r="E291" s="115"/>
      <c r="F291" s="115"/>
      <c r="G291" s="116"/>
      <c r="H291" s="116"/>
      <c r="I291" s="132"/>
      <c r="J291" s="115"/>
    </row>
    <row r="292">
      <c r="A292" s="120"/>
      <c r="B292" s="120"/>
      <c r="C292" s="120"/>
      <c r="D292" s="119"/>
      <c r="E292" s="115"/>
      <c r="F292" s="115"/>
      <c r="G292" s="116"/>
      <c r="H292" s="116"/>
      <c r="I292" s="132"/>
      <c r="J292" s="115"/>
    </row>
    <row r="293">
      <c r="A293" s="120"/>
      <c r="B293" s="120"/>
      <c r="C293" s="120"/>
      <c r="D293" s="119"/>
      <c r="E293" s="115"/>
      <c r="F293" s="115"/>
      <c r="G293" s="116"/>
      <c r="H293" s="116"/>
      <c r="I293" s="132"/>
      <c r="J293" s="115"/>
    </row>
    <row r="294">
      <c r="A294" s="120"/>
      <c r="B294" s="120"/>
      <c r="C294" s="120"/>
      <c r="D294" s="119"/>
      <c r="E294" s="115"/>
      <c r="F294" s="115"/>
      <c r="G294" s="116"/>
      <c r="H294" s="116"/>
      <c r="I294" s="132"/>
      <c r="J294" s="115"/>
    </row>
    <row r="295">
      <c r="A295" s="120"/>
      <c r="B295" s="120"/>
      <c r="C295" s="120"/>
      <c r="D295" s="119"/>
      <c r="E295" s="115"/>
      <c r="F295" s="115"/>
      <c r="G295" s="116"/>
      <c r="H295" s="116"/>
      <c r="I295" s="132"/>
      <c r="J295" s="115"/>
    </row>
    <row r="296">
      <c r="A296" s="120"/>
      <c r="B296" s="120"/>
      <c r="C296" s="120"/>
      <c r="D296" s="119"/>
      <c r="E296" s="115"/>
      <c r="F296" s="115"/>
      <c r="G296" s="116"/>
      <c r="H296" s="116"/>
      <c r="I296" s="132"/>
      <c r="J296" s="115"/>
    </row>
    <row r="297">
      <c r="A297" s="120"/>
      <c r="B297" s="120"/>
      <c r="C297" s="120"/>
      <c r="D297" s="119"/>
      <c r="E297" s="115"/>
      <c r="F297" s="115"/>
      <c r="G297" s="116"/>
      <c r="H297" s="116"/>
      <c r="I297" s="132"/>
      <c r="J297" s="115"/>
    </row>
    <row r="298">
      <c r="A298" s="120"/>
      <c r="B298" s="120"/>
      <c r="C298" s="120"/>
      <c r="D298" s="119"/>
      <c r="E298" s="115"/>
      <c r="F298" s="115"/>
      <c r="G298" s="116"/>
      <c r="H298" s="116"/>
      <c r="I298" s="132"/>
      <c r="J298" s="115"/>
    </row>
    <row r="299">
      <c r="A299" s="120"/>
      <c r="B299" s="120"/>
      <c r="C299" s="120"/>
      <c r="D299" s="119"/>
      <c r="E299" s="115"/>
      <c r="F299" s="115"/>
      <c r="G299" s="116"/>
      <c r="H299" s="116"/>
      <c r="I299" s="132"/>
      <c r="J299" s="115"/>
    </row>
    <row r="300">
      <c r="A300" s="120"/>
      <c r="B300" s="120"/>
      <c r="C300" s="120"/>
      <c r="D300" s="119"/>
      <c r="E300" s="115"/>
      <c r="F300" s="115"/>
      <c r="G300" s="116"/>
      <c r="H300" s="116"/>
      <c r="I300" s="132"/>
      <c r="J300" s="115"/>
    </row>
    <row r="301">
      <c r="A301" s="120"/>
      <c r="B301" s="120"/>
      <c r="C301" s="120"/>
      <c r="D301" s="119"/>
      <c r="E301" s="115"/>
      <c r="F301" s="115"/>
      <c r="G301" s="116"/>
      <c r="H301" s="116"/>
      <c r="I301" s="132"/>
      <c r="J301" s="115"/>
    </row>
    <row r="302">
      <c r="A302" s="120"/>
      <c r="B302" s="120"/>
      <c r="C302" s="120"/>
      <c r="D302" s="119"/>
      <c r="E302" s="115"/>
      <c r="F302" s="115"/>
      <c r="G302" s="116"/>
      <c r="H302" s="116"/>
      <c r="I302" s="132"/>
      <c r="J302" s="115"/>
    </row>
    <row r="303">
      <c r="A303" s="120"/>
      <c r="B303" s="120"/>
      <c r="C303" s="120"/>
      <c r="D303" s="119"/>
      <c r="E303" s="115"/>
      <c r="F303" s="115"/>
      <c r="G303" s="116"/>
      <c r="H303" s="116"/>
      <c r="I303" s="132"/>
      <c r="J303" s="115"/>
    </row>
    <row r="304">
      <c r="A304" s="120"/>
      <c r="B304" s="120"/>
      <c r="C304" s="120"/>
      <c r="D304" s="119"/>
      <c r="E304" s="115"/>
      <c r="F304" s="115"/>
      <c r="G304" s="116"/>
      <c r="H304" s="116"/>
      <c r="I304" s="132"/>
      <c r="J304" s="115"/>
    </row>
    <row r="305">
      <c r="A305" s="120"/>
      <c r="B305" s="120"/>
      <c r="C305" s="120"/>
      <c r="D305" s="119"/>
      <c r="E305" s="115"/>
      <c r="F305" s="115"/>
      <c r="G305" s="116"/>
      <c r="H305" s="116"/>
      <c r="I305" s="132"/>
      <c r="J305" s="115"/>
    </row>
    <row r="306">
      <c r="A306" s="120"/>
      <c r="B306" s="120"/>
      <c r="C306" s="120"/>
      <c r="D306" s="119"/>
      <c r="E306" s="115"/>
      <c r="F306" s="115"/>
      <c r="G306" s="116"/>
      <c r="H306" s="116"/>
      <c r="I306" s="132"/>
      <c r="J306" s="115"/>
    </row>
    <row r="307">
      <c r="A307" s="120"/>
      <c r="B307" s="120"/>
      <c r="C307" s="120"/>
      <c r="D307" s="119"/>
      <c r="E307" s="115"/>
      <c r="F307" s="115"/>
      <c r="G307" s="116"/>
      <c r="H307" s="116"/>
      <c r="I307" s="132"/>
      <c r="J307" s="115"/>
    </row>
    <row r="308">
      <c r="A308" s="120"/>
      <c r="B308" s="120"/>
      <c r="C308" s="120"/>
      <c r="D308" s="119"/>
      <c r="E308" s="115"/>
      <c r="F308" s="115"/>
      <c r="G308" s="116"/>
      <c r="H308" s="116"/>
      <c r="I308" s="132"/>
      <c r="J308" s="115"/>
    </row>
    <row r="309">
      <c r="A309" s="120"/>
      <c r="B309" s="120"/>
      <c r="C309" s="120"/>
      <c r="D309" s="119"/>
      <c r="E309" s="115"/>
      <c r="F309" s="115"/>
      <c r="G309" s="116"/>
      <c r="H309" s="116"/>
      <c r="I309" s="132"/>
      <c r="J309" s="115"/>
    </row>
    <row r="310">
      <c r="A310" s="120"/>
      <c r="B310" s="120"/>
      <c r="C310" s="120"/>
      <c r="D310" s="119"/>
      <c r="E310" s="115"/>
      <c r="F310" s="115"/>
      <c r="G310" s="116"/>
      <c r="H310" s="116"/>
      <c r="I310" s="132"/>
      <c r="J310" s="115"/>
    </row>
    <row r="311">
      <c r="A311" s="120"/>
      <c r="B311" s="120"/>
      <c r="C311" s="120"/>
      <c r="D311" s="119"/>
      <c r="E311" s="115"/>
      <c r="F311" s="115"/>
      <c r="G311" s="116"/>
      <c r="H311" s="116"/>
      <c r="I311" s="132"/>
      <c r="J311" s="115"/>
    </row>
    <row r="312">
      <c r="A312" s="120"/>
      <c r="B312" s="120"/>
      <c r="C312" s="120"/>
      <c r="D312" s="119"/>
      <c r="E312" s="115"/>
      <c r="F312" s="115"/>
      <c r="G312" s="116"/>
      <c r="H312" s="116"/>
      <c r="I312" s="132"/>
      <c r="J312" s="115"/>
    </row>
    <row r="313">
      <c r="A313" s="120"/>
      <c r="B313" s="120"/>
      <c r="C313" s="120"/>
      <c r="D313" s="119"/>
      <c r="E313" s="115"/>
      <c r="F313" s="115"/>
      <c r="G313" s="116"/>
      <c r="H313" s="116"/>
      <c r="I313" s="132"/>
      <c r="J313" s="115"/>
    </row>
    <row r="314">
      <c r="A314" s="120"/>
      <c r="B314" s="120"/>
      <c r="C314" s="120"/>
      <c r="D314" s="119"/>
      <c r="E314" s="115"/>
      <c r="F314" s="115"/>
      <c r="G314" s="116"/>
      <c r="H314" s="116"/>
      <c r="I314" s="132"/>
      <c r="J314" s="115"/>
    </row>
    <row r="315">
      <c r="A315" s="120"/>
      <c r="B315" s="120"/>
      <c r="C315" s="120"/>
      <c r="D315" s="119"/>
      <c r="E315" s="115"/>
      <c r="F315" s="115"/>
      <c r="G315" s="116"/>
      <c r="H315" s="116"/>
      <c r="I315" s="132"/>
      <c r="J315" s="115"/>
    </row>
    <row r="316">
      <c r="A316" s="120"/>
      <c r="B316" s="120"/>
      <c r="C316" s="120"/>
      <c r="D316" s="119"/>
      <c r="E316" s="115"/>
      <c r="F316" s="115"/>
      <c r="G316" s="116"/>
      <c r="H316" s="116"/>
      <c r="I316" s="132"/>
      <c r="J316" s="115"/>
    </row>
    <row r="317">
      <c r="A317" s="120"/>
      <c r="B317" s="120"/>
      <c r="C317" s="120"/>
      <c r="D317" s="119"/>
      <c r="E317" s="115"/>
      <c r="F317" s="115"/>
      <c r="G317" s="116"/>
      <c r="H317" s="116"/>
      <c r="I317" s="132"/>
      <c r="J317" s="115"/>
    </row>
    <row r="318">
      <c r="A318" s="120"/>
      <c r="B318" s="120"/>
      <c r="C318" s="120"/>
      <c r="D318" s="119"/>
      <c r="E318" s="115"/>
      <c r="F318" s="115"/>
      <c r="G318" s="116"/>
      <c r="H318" s="116"/>
      <c r="I318" s="132"/>
      <c r="J318" s="115"/>
    </row>
    <row r="319">
      <c r="A319" s="120"/>
      <c r="B319" s="120"/>
      <c r="C319" s="120"/>
      <c r="D319" s="119"/>
      <c r="E319" s="115"/>
      <c r="F319" s="115"/>
      <c r="G319" s="116"/>
      <c r="H319" s="116"/>
      <c r="I319" s="132"/>
      <c r="J319" s="115"/>
    </row>
    <row r="320">
      <c r="A320" s="120"/>
      <c r="B320" s="120"/>
      <c r="C320" s="120"/>
      <c r="D320" s="119"/>
      <c r="E320" s="115"/>
      <c r="F320" s="115"/>
      <c r="G320" s="116"/>
      <c r="H320" s="116"/>
      <c r="I320" s="132"/>
      <c r="J320" s="115"/>
    </row>
    <row r="321">
      <c r="A321" s="120"/>
      <c r="B321" s="120"/>
      <c r="C321" s="120"/>
      <c r="D321" s="119"/>
      <c r="E321" s="115"/>
      <c r="F321" s="115"/>
      <c r="G321" s="116"/>
      <c r="H321" s="116"/>
      <c r="I321" s="132"/>
      <c r="J321" s="115"/>
    </row>
    <row r="322">
      <c r="A322" s="120"/>
      <c r="B322" s="120"/>
      <c r="C322" s="120"/>
      <c r="D322" s="119"/>
      <c r="E322" s="115"/>
      <c r="F322" s="115"/>
      <c r="G322" s="116"/>
      <c r="H322" s="116"/>
      <c r="I322" s="132"/>
      <c r="J322" s="115"/>
    </row>
    <row r="323">
      <c r="A323" s="120"/>
      <c r="B323" s="120"/>
      <c r="C323" s="120"/>
      <c r="D323" s="119"/>
      <c r="E323" s="115"/>
      <c r="F323" s="115"/>
      <c r="G323" s="116"/>
      <c r="H323" s="116"/>
      <c r="I323" s="132"/>
      <c r="J323" s="115"/>
    </row>
    <row r="324">
      <c r="A324" s="120"/>
      <c r="B324" s="120"/>
      <c r="C324" s="120"/>
      <c r="D324" s="119"/>
      <c r="E324" s="115"/>
      <c r="F324" s="115"/>
      <c r="G324" s="116"/>
      <c r="H324" s="116"/>
      <c r="I324" s="132"/>
      <c r="J324" s="115"/>
    </row>
    <row r="325">
      <c r="A325" s="120"/>
      <c r="B325" s="120"/>
      <c r="C325" s="120"/>
      <c r="D325" s="119"/>
      <c r="E325" s="115"/>
      <c r="F325" s="115"/>
      <c r="G325" s="116"/>
      <c r="H325" s="116"/>
      <c r="I325" s="132"/>
      <c r="J325" s="115"/>
    </row>
    <row r="326">
      <c r="A326" s="120"/>
      <c r="B326" s="120"/>
      <c r="C326" s="120"/>
      <c r="D326" s="119"/>
      <c r="E326" s="115"/>
      <c r="F326" s="115"/>
      <c r="G326" s="116"/>
      <c r="H326" s="116"/>
      <c r="I326" s="132"/>
      <c r="J326" s="115"/>
    </row>
    <row r="327">
      <c r="A327" s="120"/>
      <c r="B327" s="120"/>
      <c r="C327" s="120"/>
      <c r="D327" s="119"/>
      <c r="E327" s="115"/>
      <c r="F327" s="115"/>
      <c r="G327" s="116"/>
      <c r="H327" s="116"/>
      <c r="I327" s="132"/>
      <c r="J327" s="115"/>
    </row>
    <row r="328">
      <c r="A328" s="120"/>
      <c r="B328" s="120"/>
      <c r="C328" s="120"/>
      <c r="D328" s="119"/>
      <c r="E328" s="115"/>
      <c r="F328" s="115"/>
      <c r="G328" s="116"/>
      <c r="H328" s="116"/>
      <c r="I328" s="132"/>
      <c r="J328" s="115"/>
    </row>
    <row r="329">
      <c r="A329" s="120"/>
      <c r="B329" s="120"/>
      <c r="C329" s="120"/>
      <c r="D329" s="119"/>
      <c r="E329" s="115"/>
      <c r="F329" s="115"/>
      <c r="G329" s="116"/>
      <c r="H329" s="116"/>
      <c r="I329" s="132"/>
      <c r="J329" s="115"/>
    </row>
    <row r="330">
      <c r="A330" s="120"/>
      <c r="B330" s="120"/>
      <c r="C330" s="120"/>
      <c r="D330" s="119"/>
      <c r="E330" s="115"/>
      <c r="F330" s="115"/>
      <c r="G330" s="116"/>
      <c r="H330" s="116"/>
      <c r="I330" s="132"/>
      <c r="J330" s="115"/>
    </row>
    <row r="331">
      <c r="A331" s="120"/>
      <c r="B331" s="120"/>
      <c r="C331" s="120"/>
      <c r="D331" s="119"/>
      <c r="E331" s="115"/>
      <c r="F331" s="115"/>
      <c r="G331" s="116"/>
      <c r="H331" s="116"/>
      <c r="I331" s="132"/>
      <c r="J331" s="115"/>
    </row>
    <row r="332">
      <c r="A332" s="120"/>
      <c r="B332" s="120"/>
      <c r="C332" s="120"/>
      <c r="D332" s="119"/>
      <c r="E332" s="115"/>
      <c r="F332" s="115"/>
      <c r="G332" s="116"/>
      <c r="H332" s="116"/>
      <c r="I332" s="132"/>
      <c r="J332" s="115"/>
    </row>
    <row r="333">
      <c r="A333" s="120"/>
      <c r="B333" s="120"/>
      <c r="C333" s="120"/>
      <c r="D333" s="119"/>
      <c r="E333" s="115"/>
      <c r="F333" s="115"/>
      <c r="G333" s="116"/>
      <c r="H333" s="116"/>
      <c r="I333" s="132"/>
      <c r="J333" s="115"/>
    </row>
    <row r="334">
      <c r="A334" s="120"/>
      <c r="B334" s="120"/>
      <c r="C334" s="120"/>
      <c r="D334" s="119"/>
      <c r="E334" s="115"/>
      <c r="F334" s="115"/>
      <c r="G334" s="116"/>
      <c r="H334" s="116"/>
      <c r="I334" s="132"/>
      <c r="J334" s="115"/>
    </row>
    <row r="335">
      <c r="A335" s="120"/>
      <c r="B335" s="120"/>
      <c r="C335" s="120"/>
      <c r="D335" s="119"/>
      <c r="E335" s="115"/>
      <c r="F335" s="115"/>
      <c r="G335" s="116"/>
      <c r="H335" s="116"/>
      <c r="I335" s="132"/>
      <c r="J335" s="115"/>
    </row>
    <row r="336">
      <c r="A336" s="120"/>
      <c r="B336" s="120"/>
      <c r="C336" s="120"/>
      <c r="D336" s="119"/>
      <c r="E336" s="115"/>
      <c r="F336" s="115"/>
      <c r="G336" s="116"/>
      <c r="H336" s="116"/>
      <c r="I336" s="132"/>
      <c r="J336" s="115"/>
    </row>
    <row r="337">
      <c r="A337" s="120"/>
      <c r="B337" s="120"/>
      <c r="C337" s="120"/>
      <c r="D337" s="119"/>
      <c r="E337" s="115"/>
      <c r="F337" s="115"/>
      <c r="G337" s="116"/>
      <c r="H337" s="116"/>
      <c r="I337" s="132"/>
      <c r="J337" s="115"/>
    </row>
    <row r="338">
      <c r="A338" s="120"/>
      <c r="B338" s="120"/>
      <c r="C338" s="120"/>
      <c r="D338" s="119"/>
      <c r="E338" s="115"/>
      <c r="F338" s="115"/>
      <c r="G338" s="116"/>
      <c r="H338" s="116"/>
      <c r="I338" s="132"/>
      <c r="J338" s="115"/>
    </row>
    <row r="339">
      <c r="A339" s="120"/>
      <c r="B339" s="120"/>
      <c r="C339" s="120"/>
      <c r="D339" s="119"/>
      <c r="E339" s="115"/>
      <c r="F339" s="115"/>
      <c r="G339" s="116"/>
      <c r="H339" s="116"/>
      <c r="I339" s="132"/>
      <c r="J339" s="115"/>
    </row>
    <row r="340">
      <c r="A340" s="120"/>
      <c r="B340" s="120"/>
      <c r="C340" s="120"/>
      <c r="D340" s="119"/>
      <c r="E340" s="115"/>
      <c r="F340" s="115"/>
      <c r="G340" s="116"/>
      <c r="H340" s="116"/>
      <c r="I340" s="132"/>
      <c r="J340" s="115"/>
    </row>
    <row r="341">
      <c r="A341" s="120"/>
      <c r="B341" s="120"/>
      <c r="C341" s="120"/>
      <c r="D341" s="119"/>
      <c r="E341" s="115"/>
      <c r="F341" s="115"/>
      <c r="G341" s="116"/>
      <c r="H341" s="116"/>
      <c r="I341" s="132"/>
      <c r="J341" s="115"/>
    </row>
    <row r="342">
      <c r="A342" s="120"/>
      <c r="B342" s="120"/>
      <c r="C342" s="120"/>
      <c r="D342" s="119"/>
      <c r="E342" s="115"/>
      <c r="F342" s="115"/>
      <c r="G342" s="116"/>
      <c r="H342" s="116"/>
      <c r="I342" s="132"/>
      <c r="J342" s="115"/>
    </row>
    <row r="343">
      <c r="A343" s="120"/>
      <c r="B343" s="120"/>
      <c r="C343" s="120"/>
      <c r="D343" s="119"/>
      <c r="E343" s="115"/>
      <c r="F343" s="115"/>
      <c r="G343" s="116"/>
      <c r="H343" s="116"/>
      <c r="I343" s="132"/>
      <c r="J343" s="115"/>
    </row>
    <row r="344">
      <c r="A344" s="120"/>
      <c r="B344" s="120"/>
      <c r="C344" s="120"/>
      <c r="D344" s="119"/>
      <c r="E344" s="115"/>
      <c r="F344" s="115"/>
      <c r="G344" s="116"/>
      <c r="H344" s="116"/>
      <c r="I344" s="132"/>
      <c r="J344" s="115"/>
    </row>
    <row r="345">
      <c r="A345" s="120"/>
      <c r="B345" s="120"/>
      <c r="C345" s="120"/>
      <c r="D345" s="119"/>
      <c r="E345" s="115"/>
      <c r="F345" s="115"/>
      <c r="G345" s="116"/>
      <c r="H345" s="116"/>
      <c r="I345" s="132"/>
      <c r="J345" s="115"/>
    </row>
    <row r="346">
      <c r="A346" s="120"/>
      <c r="B346" s="120"/>
      <c r="C346" s="120"/>
      <c r="D346" s="119"/>
      <c r="E346" s="115"/>
      <c r="F346" s="115"/>
      <c r="G346" s="116"/>
      <c r="H346" s="116"/>
      <c r="I346" s="132"/>
      <c r="J346" s="115"/>
    </row>
    <row r="347">
      <c r="A347" s="120"/>
      <c r="B347" s="120"/>
      <c r="C347" s="120"/>
      <c r="D347" s="119"/>
      <c r="E347" s="115"/>
      <c r="F347" s="115"/>
      <c r="G347" s="116"/>
      <c r="H347" s="116"/>
      <c r="I347" s="132"/>
      <c r="J347" s="115"/>
    </row>
    <row r="348">
      <c r="A348" s="120"/>
      <c r="B348" s="120"/>
      <c r="C348" s="120"/>
      <c r="D348" s="119"/>
      <c r="E348" s="115"/>
      <c r="F348" s="115"/>
      <c r="G348" s="116"/>
      <c r="H348" s="116"/>
      <c r="I348" s="132"/>
      <c r="J348" s="115"/>
    </row>
    <row r="349">
      <c r="A349" s="120"/>
      <c r="B349" s="120"/>
      <c r="C349" s="120"/>
      <c r="D349" s="119"/>
      <c r="E349" s="115"/>
      <c r="F349" s="115"/>
      <c r="G349" s="116"/>
      <c r="H349" s="116"/>
      <c r="I349" s="132"/>
      <c r="J349" s="115"/>
    </row>
    <row r="350">
      <c r="A350" s="120"/>
      <c r="B350" s="120"/>
      <c r="C350" s="120"/>
      <c r="D350" s="119"/>
      <c r="E350" s="115"/>
      <c r="F350" s="115"/>
      <c r="G350" s="116"/>
      <c r="H350" s="116"/>
      <c r="I350" s="132"/>
      <c r="J350" s="115"/>
    </row>
    <row r="351">
      <c r="A351" s="120"/>
      <c r="B351" s="120"/>
      <c r="C351" s="120"/>
      <c r="D351" s="119"/>
      <c r="E351" s="115"/>
      <c r="F351" s="115"/>
      <c r="G351" s="116"/>
      <c r="H351" s="116"/>
      <c r="I351" s="132"/>
      <c r="J351" s="115"/>
    </row>
    <row r="352">
      <c r="A352" s="120"/>
      <c r="B352" s="120"/>
      <c r="C352" s="120"/>
      <c r="D352" s="119"/>
      <c r="E352" s="115"/>
      <c r="F352" s="115"/>
      <c r="G352" s="116"/>
      <c r="H352" s="116"/>
      <c r="I352" s="132"/>
      <c r="J352" s="115"/>
    </row>
    <row r="353">
      <c r="A353" s="120"/>
      <c r="B353" s="120"/>
      <c r="C353" s="120"/>
      <c r="D353" s="119"/>
      <c r="E353" s="115"/>
      <c r="F353" s="115"/>
      <c r="G353" s="116"/>
      <c r="H353" s="116"/>
      <c r="I353" s="132"/>
      <c r="J353" s="115"/>
    </row>
    <row r="354">
      <c r="A354" s="120"/>
      <c r="B354" s="120"/>
      <c r="C354" s="120"/>
      <c r="D354" s="119"/>
      <c r="E354" s="115"/>
      <c r="F354" s="115"/>
      <c r="G354" s="116"/>
      <c r="H354" s="116"/>
      <c r="I354" s="132"/>
      <c r="J354" s="115"/>
    </row>
    <row r="355">
      <c r="A355" s="120"/>
      <c r="B355" s="120"/>
      <c r="C355" s="120"/>
      <c r="D355" s="119"/>
      <c r="E355" s="115"/>
      <c r="F355" s="115"/>
      <c r="G355" s="116"/>
      <c r="H355" s="116"/>
      <c r="I355" s="132"/>
      <c r="J355" s="115"/>
    </row>
    <row r="356">
      <c r="A356" s="120"/>
      <c r="B356" s="120"/>
      <c r="C356" s="120"/>
      <c r="D356" s="119"/>
      <c r="E356" s="115"/>
      <c r="F356" s="115"/>
      <c r="G356" s="116"/>
      <c r="H356" s="116"/>
      <c r="I356" s="132"/>
      <c r="J356" s="115"/>
    </row>
    <row r="357">
      <c r="A357" s="120"/>
      <c r="B357" s="120"/>
      <c r="C357" s="120"/>
      <c r="D357" s="119"/>
      <c r="E357" s="115"/>
      <c r="F357" s="115"/>
      <c r="G357" s="116"/>
      <c r="H357" s="116"/>
      <c r="I357" s="132"/>
      <c r="J357" s="115"/>
    </row>
    <row r="358">
      <c r="A358" s="120"/>
      <c r="B358" s="120"/>
      <c r="C358" s="120"/>
      <c r="D358" s="119"/>
      <c r="E358" s="115"/>
      <c r="F358" s="115"/>
      <c r="G358" s="116"/>
      <c r="H358" s="116"/>
      <c r="I358" s="132"/>
      <c r="J358" s="115"/>
    </row>
    <row r="359">
      <c r="A359" s="120"/>
      <c r="B359" s="120"/>
      <c r="C359" s="120"/>
      <c r="D359" s="119"/>
      <c r="E359" s="115"/>
      <c r="F359" s="115"/>
      <c r="G359" s="116"/>
      <c r="H359" s="116"/>
      <c r="I359" s="132"/>
      <c r="J359" s="115"/>
    </row>
    <row r="360">
      <c r="A360" s="120"/>
      <c r="B360" s="120"/>
      <c r="C360" s="120"/>
      <c r="D360" s="119"/>
      <c r="E360" s="115"/>
      <c r="F360" s="115"/>
      <c r="G360" s="116"/>
      <c r="H360" s="116"/>
      <c r="I360" s="132"/>
      <c r="J360" s="115"/>
    </row>
    <row r="361">
      <c r="A361" s="120"/>
      <c r="B361" s="120"/>
      <c r="C361" s="120"/>
      <c r="D361" s="119"/>
      <c r="E361" s="115"/>
      <c r="F361" s="115"/>
      <c r="G361" s="116"/>
      <c r="H361" s="116"/>
      <c r="I361" s="132"/>
      <c r="J361" s="115"/>
    </row>
    <row r="362">
      <c r="A362" s="120"/>
      <c r="B362" s="120"/>
      <c r="C362" s="120"/>
      <c r="D362" s="119"/>
      <c r="E362" s="115"/>
      <c r="F362" s="115"/>
      <c r="G362" s="116"/>
      <c r="H362" s="116"/>
      <c r="I362" s="132"/>
      <c r="J362" s="115"/>
    </row>
    <row r="363">
      <c r="A363" s="120"/>
      <c r="B363" s="120"/>
      <c r="C363" s="120"/>
      <c r="D363" s="119"/>
      <c r="E363" s="115"/>
      <c r="F363" s="115"/>
      <c r="G363" s="116"/>
      <c r="H363" s="116"/>
      <c r="I363" s="132"/>
      <c r="J363" s="115"/>
    </row>
    <row r="364">
      <c r="A364" s="120"/>
      <c r="B364" s="120"/>
      <c r="C364" s="120"/>
      <c r="D364" s="119"/>
      <c r="E364" s="115"/>
      <c r="F364" s="115"/>
      <c r="G364" s="116"/>
      <c r="H364" s="116"/>
      <c r="I364" s="132"/>
      <c r="J364" s="115"/>
    </row>
    <row r="365">
      <c r="A365" s="120"/>
      <c r="B365" s="120"/>
      <c r="C365" s="120"/>
      <c r="D365" s="119"/>
      <c r="E365" s="115"/>
      <c r="F365" s="115"/>
      <c r="G365" s="116"/>
      <c r="H365" s="116"/>
      <c r="I365" s="132"/>
      <c r="J365" s="115"/>
    </row>
    <row r="366">
      <c r="A366" s="120"/>
      <c r="B366" s="120"/>
      <c r="C366" s="120"/>
      <c r="D366" s="119"/>
      <c r="E366" s="115"/>
      <c r="F366" s="115"/>
      <c r="G366" s="116"/>
      <c r="H366" s="116"/>
      <c r="I366" s="132"/>
      <c r="J366" s="115"/>
    </row>
    <row r="367">
      <c r="A367" s="120"/>
      <c r="B367" s="120"/>
      <c r="C367" s="120"/>
      <c r="D367" s="119"/>
      <c r="E367" s="115"/>
      <c r="F367" s="115"/>
      <c r="G367" s="116"/>
      <c r="H367" s="116"/>
      <c r="I367" s="132"/>
      <c r="J367" s="115"/>
    </row>
    <row r="368">
      <c r="A368" s="120"/>
      <c r="B368" s="120"/>
      <c r="C368" s="120"/>
      <c r="D368" s="119"/>
      <c r="E368" s="115"/>
      <c r="F368" s="115"/>
      <c r="G368" s="116"/>
      <c r="H368" s="116"/>
      <c r="I368" s="132"/>
      <c r="J368" s="115"/>
    </row>
    <row r="369">
      <c r="A369" s="120"/>
      <c r="B369" s="120"/>
      <c r="C369" s="120"/>
      <c r="D369" s="119"/>
      <c r="E369" s="115"/>
      <c r="F369" s="115"/>
      <c r="G369" s="116"/>
      <c r="H369" s="116"/>
      <c r="I369" s="132"/>
      <c r="J369" s="115"/>
    </row>
    <row r="370">
      <c r="A370" s="120"/>
      <c r="B370" s="120"/>
      <c r="C370" s="120"/>
      <c r="D370" s="119"/>
      <c r="E370" s="115"/>
      <c r="F370" s="115"/>
      <c r="G370" s="116"/>
      <c r="H370" s="116"/>
      <c r="I370" s="132"/>
      <c r="J370" s="115"/>
    </row>
    <row r="371">
      <c r="A371" s="120"/>
      <c r="B371" s="120"/>
      <c r="C371" s="120"/>
      <c r="D371" s="119"/>
      <c r="E371" s="115"/>
      <c r="F371" s="115"/>
      <c r="G371" s="116"/>
      <c r="H371" s="116"/>
      <c r="I371" s="132"/>
      <c r="J371" s="115"/>
    </row>
    <row r="372">
      <c r="A372" s="120"/>
      <c r="B372" s="120"/>
      <c r="C372" s="120"/>
      <c r="D372" s="119"/>
      <c r="E372" s="115"/>
      <c r="F372" s="115"/>
      <c r="G372" s="116"/>
      <c r="H372" s="116"/>
      <c r="I372" s="132"/>
      <c r="J372" s="115"/>
    </row>
    <row r="373">
      <c r="A373" s="120"/>
      <c r="B373" s="120"/>
      <c r="C373" s="120"/>
      <c r="D373" s="119"/>
      <c r="E373" s="115"/>
      <c r="F373" s="115"/>
      <c r="G373" s="116"/>
      <c r="H373" s="116"/>
      <c r="I373" s="132"/>
      <c r="J373" s="115"/>
    </row>
    <row r="374">
      <c r="A374" s="120"/>
      <c r="B374" s="120"/>
      <c r="C374" s="120"/>
      <c r="D374" s="119"/>
      <c r="E374" s="115"/>
      <c r="F374" s="115"/>
      <c r="G374" s="116"/>
      <c r="H374" s="116"/>
      <c r="I374" s="132"/>
      <c r="J374" s="115"/>
    </row>
    <row r="375">
      <c r="A375" s="120"/>
      <c r="B375" s="120"/>
      <c r="C375" s="120"/>
      <c r="D375" s="119"/>
      <c r="E375" s="115"/>
      <c r="F375" s="115"/>
      <c r="G375" s="116"/>
      <c r="H375" s="116"/>
      <c r="I375" s="132"/>
      <c r="J375" s="115"/>
    </row>
    <row r="376">
      <c r="A376" s="120"/>
      <c r="B376" s="120"/>
      <c r="C376" s="120"/>
      <c r="D376" s="119"/>
      <c r="E376" s="115"/>
      <c r="F376" s="115"/>
      <c r="G376" s="116"/>
      <c r="H376" s="116"/>
      <c r="I376" s="132"/>
      <c r="J376" s="115"/>
    </row>
    <row r="377">
      <c r="A377" s="120"/>
      <c r="B377" s="120"/>
      <c r="C377" s="120"/>
      <c r="D377" s="119"/>
      <c r="E377" s="115"/>
      <c r="F377" s="115"/>
      <c r="G377" s="116"/>
      <c r="H377" s="116"/>
      <c r="I377" s="132"/>
      <c r="J377" s="115"/>
    </row>
    <row r="378">
      <c r="A378" s="120"/>
      <c r="B378" s="120"/>
      <c r="C378" s="120"/>
      <c r="D378" s="119"/>
      <c r="E378" s="115"/>
      <c r="F378" s="115"/>
      <c r="G378" s="116"/>
      <c r="H378" s="116"/>
      <c r="I378" s="132"/>
      <c r="J378" s="115"/>
    </row>
    <row r="379">
      <c r="A379" s="120"/>
      <c r="B379" s="120"/>
      <c r="C379" s="120"/>
      <c r="D379" s="119"/>
      <c r="E379" s="115"/>
      <c r="F379" s="115"/>
      <c r="G379" s="116"/>
      <c r="H379" s="116"/>
      <c r="I379" s="132"/>
      <c r="J379" s="115"/>
    </row>
    <row r="380">
      <c r="A380" s="120"/>
      <c r="B380" s="120"/>
      <c r="C380" s="120"/>
      <c r="D380" s="119"/>
      <c r="E380" s="115"/>
      <c r="F380" s="115"/>
      <c r="G380" s="116"/>
      <c r="H380" s="116"/>
      <c r="I380" s="132"/>
      <c r="J380" s="115"/>
    </row>
    <row r="381">
      <c r="A381" s="120"/>
      <c r="B381" s="120"/>
      <c r="C381" s="120"/>
      <c r="D381" s="119"/>
      <c r="E381" s="115"/>
      <c r="F381" s="115"/>
      <c r="G381" s="116"/>
      <c r="H381" s="116"/>
      <c r="I381" s="132"/>
      <c r="J381" s="115"/>
    </row>
    <row r="382">
      <c r="A382" s="120"/>
      <c r="B382" s="120"/>
      <c r="C382" s="120"/>
      <c r="D382" s="119"/>
      <c r="E382" s="115"/>
      <c r="F382" s="115"/>
      <c r="G382" s="116"/>
      <c r="H382" s="116"/>
      <c r="I382" s="132"/>
      <c r="J382" s="115"/>
    </row>
    <row r="383">
      <c r="A383" s="120"/>
      <c r="B383" s="120"/>
      <c r="C383" s="120"/>
      <c r="D383" s="119"/>
      <c r="E383" s="115"/>
      <c r="F383" s="115"/>
      <c r="G383" s="116"/>
      <c r="H383" s="116"/>
      <c r="I383" s="132"/>
      <c r="J383" s="115"/>
    </row>
    <row r="384">
      <c r="A384" s="120"/>
      <c r="B384" s="120"/>
      <c r="C384" s="120"/>
      <c r="D384" s="119"/>
      <c r="E384" s="115"/>
      <c r="F384" s="115"/>
      <c r="G384" s="116"/>
      <c r="H384" s="116"/>
      <c r="I384" s="132"/>
      <c r="J384" s="115"/>
    </row>
    <row r="385">
      <c r="A385" s="120"/>
      <c r="B385" s="120"/>
      <c r="C385" s="120"/>
      <c r="D385" s="119"/>
      <c r="E385" s="115"/>
      <c r="F385" s="115"/>
      <c r="G385" s="116"/>
      <c r="H385" s="116"/>
      <c r="I385" s="132"/>
      <c r="J385" s="115"/>
    </row>
    <row r="386">
      <c r="A386" s="120"/>
      <c r="B386" s="120"/>
      <c r="C386" s="120"/>
      <c r="D386" s="119"/>
      <c r="E386" s="115"/>
      <c r="F386" s="115"/>
      <c r="G386" s="116"/>
      <c r="H386" s="116"/>
      <c r="I386" s="132"/>
      <c r="J386" s="115"/>
    </row>
    <row r="387">
      <c r="A387" s="120"/>
      <c r="B387" s="120"/>
      <c r="C387" s="120"/>
      <c r="D387" s="119"/>
      <c r="E387" s="115"/>
      <c r="F387" s="115"/>
      <c r="G387" s="116"/>
      <c r="H387" s="116"/>
      <c r="I387" s="132"/>
      <c r="J387" s="115"/>
    </row>
    <row r="388">
      <c r="A388" s="120"/>
      <c r="B388" s="120"/>
      <c r="C388" s="120"/>
      <c r="D388" s="119"/>
      <c r="E388" s="115"/>
      <c r="F388" s="115"/>
      <c r="G388" s="116"/>
      <c r="H388" s="116"/>
      <c r="I388" s="132"/>
      <c r="J388" s="115"/>
    </row>
    <row r="389">
      <c r="A389" s="120"/>
      <c r="B389" s="120"/>
      <c r="C389" s="120"/>
      <c r="D389" s="119"/>
      <c r="E389" s="115"/>
      <c r="F389" s="115"/>
      <c r="G389" s="116"/>
      <c r="H389" s="116"/>
      <c r="I389" s="132"/>
      <c r="J389" s="115"/>
    </row>
    <row r="390">
      <c r="A390" s="120"/>
      <c r="B390" s="120"/>
      <c r="C390" s="120"/>
      <c r="D390" s="119"/>
      <c r="E390" s="115"/>
      <c r="F390" s="115"/>
      <c r="G390" s="116"/>
      <c r="H390" s="116"/>
      <c r="I390" s="132"/>
      <c r="J390" s="115"/>
    </row>
    <row r="391">
      <c r="A391" s="120"/>
      <c r="B391" s="120"/>
      <c r="C391" s="120"/>
      <c r="D391" s="119"/>
      <c r="E391" s="115"/>
      <c r="F391" s="115"/>
      <c r="G391" s="116"/>
      <c r="H391" s="116"/>
      <c r="I391" s="132"/>
      <c r="J391" s="115"/>
    </row>
    <row r="392">
      <c r="A392" s="120"/>
      <c r="B392" s="120"/>
      <c r="C392" s="120"/>
      <c r="D392" s="119"/>
      <c r="E392" s="115"/>
      <c r="F392" s="115"/>
      <c r="G392" s="116"/>
      <c r="H392" s="116"/>
      <c r="I392" s="132"/>
      <c r="J392" s="115"/>
    </row>
    <row r="393">
      <c r="A393" s="120"/>
      <c r="B393" s="120"/>
      <c r="C393" s="120"/>
      <c r="D393" s="119"/>
      <c r="E393" s="115"/>
      <c r="F393" s="115"/>
      <c r="G393" s="116"/>
      <c r="H393" s="116"/>
      <c r="I393" s="132"/>
      <c r="J393" s="115"/>
    </row>
    <row r="394">
      <c r="A394" s="120"/>
      <c r="B394" s="120"/>
      <c r="C394" s="120"/>
      <c r="D394" s="119"/>
      <c r="E394" s="115"/>
      <c r="F394" s="115"/>
      <c r="G394" s="116"/>
      <c r="H394" s="116"/>
      <c r="I394" s="132"/>
      <c r="J394" s="115"/>
    </row>
    <row r="395">
      <c r="A395" s="120"/>
      <c r="B395" s="120"/>
      <c r="C395" s="120"/>
      <c r="D395" s="119"/>
      <c r="E395" s="115"/>
      <c r="F395" s="115"/>
      <c r="G395" s="116"/>
      <c r="H395" s="116"/>
      <c r="I395" s="132"/>
      <c r="J395" s="115"/>
    </row>
    <row r="396">
      <c r="A396" s="120"/>
      <c r="B396" s="120"/>
      <c r="C396" s="120"/>
      <c r="D396" s="119"/>
      <c r="E396" s="115"/>
      <c r="F396" s="115"/>
      <c r="G396" s="116"/>
      <c r="H396" s="116"/>
      <c r="I396" s="132"/>
      <c r="J396" s="115"/>
    </row>
    <row r="397">
      <c r="A397" s="120"/>
      <c r="B397" s="120"/>
      <c r="C397" s="120"/>
      <c r="D397" s="119"/>
      <c r="E397" s="115"/>
      <c r="F397" s="115"/>
      <c r="G397" s="116"/>
      <c r="H397" s="116"/>
      <c r="I397" s="132"/>
      <c r="J397" s="115"/>
    </row>
    <row r="398">
      <c r="A398" s="120"/>
      <c r="B398" s="120"/>
      <c r="C398" s="120"/>
      <c r="D398" s="119"/>
      <c r="E398" s="115"/>
      <c r="F398" s="115"/>
      <c r="G398" s="116"/>
      <c r="H398" s="116"/>
      <c r="I398" s="132"/>
      <c r="J398" s="115"/>
    </row>
    <row r="399">
      <c r="A399" s="120"/>
      <c r="B399" s="120"/>
      <c r="C399" s="120"/>
      <c r="D399" s="119"/>
      <c r="E399" s="115"/>
      <c r="F399" s="115"/>
      <c r="G399" s="116"/>
      <c r="H399" s="116"/>
      <c r="I399" s="132"/>
      <c r="J399" s="115"/>
    </row>
    <row r="400">
      <c r="A400" s="120"/>
      <c r="B400" s="120"/>
      <c r="C400" s="120"/>
      <c r="D400" s="119"/>
      <c r="E400" s="115"/>
      <c r="F400" s="115"/>
      <c r="G400" s="116"/>
      <c r="H400" s="116"/>
      <c r="I400" s="132"/>
      <c r="J400" s="115"/>
    </row>
    <row r="401">
      <c r="A401" s="120"/>
      <c r="B401" s="120"/>
      <c r="C401" s="120"/>
      <c r="D401" s="119"/>
      <c r="E401" s="115"/>
      <c r="F401" s="115"/>
      <c r="G401" s="116"/>
      <c r="H401" s="116"/>
      <c r="I401" s="132"/>
      <c r="J401" s="115"/>
    </row>
    <row r="402">
      <c r="A402" s="120"/>
      <c r="B402" s="120"/>
      <c r="C402" s="120"/>
      <c r="D402" s="119"/>
      <c r="E402" s="115"/>
      <c r="F402" s="115"/>
      <c r="G402" s="116"/>
      <c r="H402" s="116"/>
      <c r="I402" s="132"/>
      <c r="J402" s="115"/>
    </row>
    <row r="403">
      <c r="A403" s="120"/>
      <c r="B403" s="120"/>
      <c r="C403" s="120"/>
      <c r="D403" s="119"/>
      <c r="E403" s="115"/>
      <c r="F403" s="115"/>
      <c r="G403" s="116"/>
      <c r="H403" s="116"/>
      <c r="I403" s="132"/>
      <c r="J403" s="115"/>
    </row>
    <row r="404">
      <c r="A404" s="120"/>
      <c r="B404" s="120"/>
      <c r="C404" s="120"/>
      <c r="D404" s="119"/>
      <c r="E404" s="115"/>
      <c r="F404" s="115"/>
      <c r="G404" s="116"/>
      <c r="H404" s="116"/>
      <c r="I404" s="132"/>
      <c r="J404" s="115"/>
    </row>
    <row r="405">
      <c r="A405" s="120"/>
      <c r="B405" s="120"/>
      <c r="C405" s="120"/>
      <c r="D405" s="119"/>
      <c r="E405" s="115"/>
      <c r="F405" s="115"/>
      <c r="G405" s="116"/>
      <c r="H405" s="116"/>
      <c r="I405" s="132"/>
      <c r="J405" s="115"/>
    </row>
    <row r="406">
      <c r="A406" s="120"/>
      <c r="B406" s="120"/>
      <c r="C406" s="120"/>
      <c r="D406" s="119"/>
      <c r="E406" s="115"/>
      <c r="F406" s="115"/>
      <c r="G406" s="116"/>
      <c r="H406" s="116"/>
      <c r="I406" s="132"/>
      <c r="J406" s="115"/>
    </row>
    <row r="407">
      <c r="A407" s="120"/>
      <c r="B407" s="120"/>
      <c r="C407" s="120"/>
      <c r="D407" s="119"/>
      <c r="E407" s="115"/>
      <c r="F407" s="115"/>
      <c r="G407" s="116"/>
      <c r="H407" s="116"/>
      <c r="I407" s="132"/>
      <c r="J407" s="115"/>
    </row>
    <row r="408">
      <c r="A408" s="120"/>
      <c r="B408" s="120"/>
      <c r="C408" s="120"/>
      <c r="D408" s="119"/>
      <c r="E408" s="115"/>
      <c r="F408" s="115"/>
      <c r="G408" s="116"/>
      <c r="H408" s="116"/>
      <c r="I408" s="132"/>
      <c r="J408" s="115"/>
    </row>
    <row r="409">
      <c r="A409" s="120"/>
      <c r="B409" s="120"/>
      <c r="C409" s="120"/>
      <c r="D409" s="119"/>
      <c r="E409" s="115"/>
      <c r="F409" s="115"/>
      <c r="G409" s="116"/>
      <c r="H409" s="116"/>
      <c r="I409" s="132"/>
      <c r="J409" s="115"/>
    </row>
    <row r="410">
      <c r="A410" s="120"/>
      <c r="B410" s="120"/>
      <c r="C410" s="120"/>
      <c r="D410" s="119"/>
      <c r="E410" s="115"/>
      <c r="F410" s="115"/>
      <c r="G410" s="116"/>
      <c r="H410" s="116"/>
      <c r="I410" s="132"/>
      <c r="J410" s="115"/>
    </row>
    <row r="411">
      <c r="A411" s="120"/>
      <c r="B411" s="120"/>
      <c r="C411" s="120"/>
      <c r="D411" s="119"/>
      <c r="E411" s="115"/>
      <c r="F411" s="115"/>
      <c r="G411" s="116"/>
      <c r="H411" s="116"/>
      <c r="I411" s="132"/>
      <c r="J411" s="115"/>
    </row>
    <row r="412">
      <c r="A412" s="120"/>
      <c r="B412" s="120"/>
      <c r="C412" s="120"/>
      <c r="D412" s="119"/>
      <c r="E412" s="115"/>
      <c r="F412" s="115"/>
      <c r="G412" s="116"/>
      <c r="H412" s="116"/>
      <c r="I412" s="132"/>
      <c r="J412" s="115"/>
    </row>
    <row r="413">
      <c r="A413" s="120"/>
      <c r="B413" s="120"/>
      <c r="C413" s="120"/>
      <c r="D413" s="119"/>
      <c r="E413" s="115"/>
      <c r="F413" s="115"/>
      <c r="G413" s="116"/>
      <c r="H413" s="116"/>
      <c r="I413" s="132"/>
      <c r="J413" s="115"/>
    </row>
    <row r="414">
      <c r="A414" s="120"/>
      <c r="B414" s="120"/>
      <c r="C414" s="120"/>
      <c r="D414" s="119"/>
      <c r="E414" s="115"/>
      <c r="F414" s="115"/>
      <c r="G414" s="116"/>
      <c r="H414" s="116"/>
      <c r="I414" s="132"/>
      <c r="J414" s="115"/>
    </row>
    <row r="415">
      <c r="A415" s="120"/>
      <c r="B415" s="120"/>
      <c r="C415" s="120"/>
      <c r="D415" s="119"/>
      <c r="E415" s="115"/>
      <c r="F415" s="115"/>
      <c r="G415" s="116"/>
      <c r="H415" s="116"/>
      <c r="I415" s="132"/>
      <c r="J415" s="115"/>
    </row>
    <row r="416">
      <c r="A416" s="120"/>
      <c r="B416" s="120"/>
      <c r="C416" s="120"/>
      <c r="D416" s="119"/>
      <c r="E416" s="115"/>
      <c r="F416" s="115"/>
      <c r="G416" s="116"/>
      <c r="H416" s="116"/>
      <c r="I416" s="132"/>
      <c r="J416" s="115"/>
    </row>
    <row r="417">
      <c r="A417" s="120"/>
      <c r="B417" s="120"/>
      <c r="C417" s="120"/>
      <c r="D417" s="119"/>
      <c r="E417" s="115"/>
      <c r="F417" s="115"/>
      <c r="G417" s="116"/>
      <c r="H417" s="116"/>
      <c r="I417" s="132"/>
      <c r="J417" s="115"/>
    </row>
    <row r="418">
      <c r="A418" s="120"/>
      <c r="B418" s="120"/>
      <c r="C418" s="120"/>
      <c r="D418" s="119"/>
      <c r="E418" s="115"/>
      <c r="F418" s="115"/>
      <c r="G418" s="116"/>
      <c r="H418" s="116"/>
      <c r="I418" s="132"/>
      <c r="J418" s="115"/>
    </row>
    <row r="419">
      <c r="A419" s="120"/>
      <c r="B419" s="120"/>
      <c r="C419" s="120"/>
      <c r="D419" s="119"/>
      <c r="E419" s="115"/>
      <c r="F419" s="115"/>
      <c r="G419" s="116"/>
      <c r="H419" s="116"/>
      <c r="I419" s="132"/>
      <c r="J419" s="115"/>
    </row>
    <row r="420">
      <c r="A420" s="120"/>
      <c r="B420" s="120"/>
      <c r="C420" s="120"/>
      <c r="D420" s="119"/>
      <c r="E420" s="115"/>
      <c r="F420" s="115"/>
      <c r="G420" s="116"/>
      <c r="H420" s="116"/>
      <c r="I420" s="132"/>
      <c r="J420" s="115"/>
    </row>
    <row r="421">
      <c r="A421" s="120"/>
      <c r="B421" s="120"/>
      <c r="C421" s="120"/>
      <c r="D421" s="119"/>
      <c r="E421" s="115"/>
      <c r="F421" s="115"/>
      <c r="G421" s="116"/>
      <c r="H421" s="116"/>
      <c r="I421" s="132"/>
      <c r="J421" s="115"/>
    </row>
    <row r="422">
      <c r="A422" s="120"/>
      <c r="B422" s="120"/>
      <c r="C422" s="120"/>
      <c r="D422" s="119"/>
      <c r="E422" s="115"/>
      <c r="F422" s="115"/>
      <c r="G422" s="116"/>
      <c r="H422" s="116"/>
      <c r="I422" s="132"/>
      <c r="J422" s="115"/>
    </row>
    <row r="423">
      <c r="A423" s="120"/>
      <c r="B423" s="120"/>
      <c r="C423" s="120"/>
      <c r="D423" s="119"/>
      <c r="E423" s="115"/>
      <c r="F423" s="115"/>
      <c r="G423" s="116"/>
      <c r="H423" s="116"/>
      <c r="I423" s="132"/>
      <c r="J423" s="115"/>
    </row>
    <row r="424">
      <c r="A424" s="120"/>
      <c r="B424" s="120"/>
      <c r="C424" s="120"/>
      <c r="D424" s="119"/>
      <c r="E424" s="115"/>
      <c r="F424" s="115"/>
      <c r="G424" s="116"/>
      <c r="H424" s="116"/>
      <c r="I424" s="132"/>
      <c r="J424" s="115"/>
    </row>
    <row r="425">
      <c r="A425" s="120"/>
      <c r="B425" s="120"/>
      <c r="C425" s="120"/>
      <c r="D425" s="119"/>
      <c r="E425" s="115"/>
      <c r="F425" s="115"/>
      <c r="G425" s="116"/>
      <c r="H425" s="116"/>
      <c r="I425" s="132"/>
      <c r="J425" s="115"/>
    </row>
    <row r="426">
      <c r="A426" s="120"/>
      <c r="B426" s="120"/>
      <c r="C426" s="120"/>
      <c r="D426" s="119"/>
      <c r="E426" s="115"/>
      <c r="F426" s="115"/>
      <c r="G426" s="116"/>
      <c r="H426" s="116"/>
      <c r="I426" s="132"/>
      <c r="J426" s="115"/>
    </row>
    <row r="427">
      <c r="A427" s="120"/>
      <c r="B427" s="120"/>
      <c r="C427" s="120"/>
      <c r="D427" s="119"/>
      <c r="E427" s="115"/>
      <c r="F427" s="115"/>
      <c r="G427" s="116"/>
      <c r="H427" s="116"/>
      <c r="I427" s="132"/>
      <c r="J427" s="115"/>
    </row>
    <row r="428">
      <c r="A428" s="120"/>
      <c r="B428" s="120"/>
      <c r="C428" s="120"/>
      <c r="D428" s="119"/>
      <c r="E428" s="115"/>
      <c r="F428" s="115"/>
      <c r="G428" s="116"/>
      <c r="H428" s="116"/>
      <c r="I428" s="132"/>
      <c r="J428" s="115"/>
    </row>
    <row r="429">
      <c r="A429" s="120"/>
      <c r="B429" s="120"/>
      <c r="C429" s="120"/>
      <c r="D429" s="119"/>
      <c r="E429" s="115"/>
      <c r="F429" s="115"/>
      <c r="G429" s="116"/>
      <c r="H429" s="116"/>
      <c r="I429" s="132"/>
      <c r="J429" s="115"/>
    </row>
    <row r="430">
      <c r="A430" s="120"/>
      <c r="B430" s="120"/>
      <c r="C430" s="120"/>
      <c r="D430" s="119"/>
      <c r="E430" s="115"/>
      <c r="F430" s="115"/>
      <c r="G430" s="116"/>
      <c r="H430" s="116"/>
      <c r="I430" s="132"/>
      <c r="J430" s="115"/>
    </row>
    <row r="431">
      <c r="A431" s="120"/>
      <c r="B431" s="120"/>
      <c r="C431" s="120"/>
      <c r="D431" s="119"/>
      <c r="E431" s="115"/>
      <c r="F431" s="115"/>
      <c r="G431" s="116"/>
      <c r="H431" s="116"/>
      <c r="I431" s="132"/>
      <c r="J431" s="115"/>
    </row>
    <row r="432">
      <c r="A432" s="120"/>
      <c r="B432" s="120"/>
      <c r="C432" s="120"/>
      <c r="D432" s="119"/>
      <c r="E432" s="115"/>
      <c r="F432" s="115"/>
      <c r="G432" s="116"/>
      <c r="H432" s="116"/>
      <c r="I432" s="132"/>
      <c r="J432" s="115"/>
    </row>
    <row r="433">
      <c r="A433" s="120"/>
      <c r="B433" s="120"/>
      <c r="C433" s="120"/>
      <c r="D433" s="119"/>
      <c r="E433" s="115"/>
      <c r="F433" s="115"/>
      <c r="G433" s="116"/>
      <c r="H433" s="116"/>
      <c r="I433" s="132"/>
      <c r="J433" s="115"/>
    </row>
    <row r="434">
      <c r="A434" s="120"/>
      <c r="B434" s="120"/>
      <c r="C434" s="120"/>
      <c r="D434" s="119"/>
      <c r="E434" s="115"/>
      <c r="F434" s="115"/>
      <c r="G434" s="116"/>
      <c r="H434" s="116"/>
      <c r="I434" s="132"/>
      <c r="J434" s="115"/>
    </row>
    <row r="435">
      <c r="A435" s="120"/>
      <c r="B435" s="120"/>
      <c r="C435" s="120"/>
      <c r="D435" s="119"/>
      <c r="E435" s="115"/>
      <c r="F435" s="115"/>
      <c r="G435" s="116"/>
      <c r="H435" s="116"/>
      <c r="I435" s="132"/>
      <c r="J435" s="115"/>
    </row>
    <row r="436">
      <c r="A436" s="120"/>
      <c r="B436" s="120"/>
      <c r="C436" s="120"/>
      <c r="D436" s="119"/>
      <c r="E436" s="115"/>
      <c r="F436" s="115"/>
      <c r="G436" s="116"/>
      <c r="H436" s="116"/>
      <c r="I436" s="132"/>
      <c r="J436" s="115"/>
    </row>
    <row r="437">
      <c r="A437" s="120"/>
      <c r="B437" s="120"/>
      <c r="C437" s="120"/>
      <c r="D437" s="119"/>
      <c r="E437" s="115"/>
      <c r="F437" s="115"/>
      <c r="G437" s="116"/>
      <c r="H437" s="116"/>
      <c r="I437" s="132"/>
      <c r="J437" s="115"/>
    </row>
    <row r="438">
      <c r="A438" s="120"/>
      <c r="B438" s="120"/>
      <c r="C438" s="120"/>
      <c r="D438" s="119"/>
      <c r="E438" s="115"/>
      <c r="F438" s="115"/>
      <c r="G438" s="116"/>
      <c r="H438" s="116"/>
      <c r="I438" s="132"/>
      <c r="J438" s="115"/>
    </row>
    <row r="439">
      <c r="A439" s="120"/>
      <c r="B439" s="120"/>
      <c r="C439" s="120"/>
      <c r="D439" s="119"/>
      <c r="E439" s="115"/>
      <c r="F439" s="115"/>
      <c r="G439" s="116"/>
      <c r="H439" s="116"/>
      <c r="I439" s="132"/>
      <c r="J439" s="115"/>
    </row>
    <row r="440">
      <c r="A440" s="120"/>
      <c r="B440" s="120"/>
      <c r="C440" s="120"/>
      <c r="D440" s="119"/>
      <c r="E440" s="115"/>
      <c r="F440" s="115"/>
      <c r="G440" s="116"/>
      <c r="H440" s="116"/>
      <c r="I440" s="132"/>
      <c r="J440" s="115"/>
    </row>
    <row r="441">
      <c r="A441" s="120"/>
      <c r="B441" s="120"/>
      <c r="C441" s="120"/>
      <c r="D441" s="119"/>
      <c r="E441" s="115"/>
      <c r="F441" s="115"/>
      <c r="G441" s="116"/>
      <c r="H441" s="116"/>
      <c r="I441" s="132"/>
      <c r="J441" s="115"/>
    </row>
    <row r="442">
      <c r="A442" s="120"/>
      <c r="B442" s="120"/>
      <c r="C442" s="120"/>
      <c r="D442" s="119"/>
      <c r="E442" s="115"/>
      <c r="F442" s="115"/>
      <c r="G442" s="116"/>
      <c r="H442" s="116"/>
      <c r="I442" s="132"/>
      <c r="J442" s="115"/>
    </row>
    <row r="443">
      <c r="A443" s="120"/>
      <c r="B443" s="120"/>
      <c r="C443" s="120"/>
      <c r="D443" s="119"/>
      <c r="E443" s="115"/>
      <c r="F443" s="115"/>
      <c r="G443" s="116"/>
      <c r="H443" s="116"/>
      <c r="I443" s="132"/>
      <c r="J443" s="115"/>
    </row>
    <row r="444">
      <c r="A444" s="120"/>
      <c r="B444" s="120"/>
      <c r="C444" s="120"/>
      <c r="D444" s="119"/>
      <c r="E444" s="115"/>
      <c r="F444" s="115"/>
      <c r="G444" s="116"/>
      <c r="H444" s="116"/>
      <c r="I444" s="132"/>
      <c r="J444" s="115"/>
    </row>
    <row r="445">
      <c r="A445" s="120"/>
      <c r="B445" s="120"/>
      <c r="C445" s="120"/>
      <c r="D445" s="119"/>
      <c r="E445" s="115"/>
      <c r="F445" s="115"/>
      <c r="G445" s="116"/>
      <c r="H445" s="116"/>
      <c r="I445" s="132"/>
      <c r="J445" s="115"/>
    </row>
    <row r="446">
      <c r="A446" s="120"/>
      <c r="B446" s="120"/>
      <c r="C446" s="120"/>
      <c r="D446" s="119"/>
      <c r="E446" s="115"/>
      <c r="F446" s="115"/>
      <c r="G446" s="116"/>
      <c r="H446" s="116"/>
      <c r="I446" s="132"/>
      <c r="J446" s="115"/>
    </row>
    <row r="447">
      <c r="A447" s="120"/>
      <c r="B447" s="120"/>
      <c r="C447" s="120"/>
      <c r="D447" s="119"/>
      <c r="E447" s="115"/>
      <c r="F447" s="115"/>
      <c r="G447" s="116"/>
      <c r="H447" s="116"/>
      <c r="I447" s="132"/>
      <c r="J447" s="115"/>
    </row>
    <row r="448">
      <c r="A448" s="120"/>
      <c r="B448" s="120"/>
      <c r="C448" s="120"/>
      <c r="D448" s="119"/>
      <c r="E448" s="115"/>
      <c r="F448" s="115"/>
      <c r="G448" s="116"/>
      <c r="H448" s="116"/>
      <c r="I448" s="132"/>
      <c r="J448" s="115"/>
    </row>
    <row r="449">
      <c r="A449" s="120"/>
      <c r="B449" s="120"/>
      <c r="C449" s="120"/>
      <c r="D449" s="119"/>
      <c r="E449" s="115"/>
      <c r="F449" s="115"/>
      <c r="G449" s="116"/>
      <c r="H449" s="116"/>
      <c r="I449" s="132"/>
      <c r="J449" s="115"/>
    </row>
    <row r="450">
      <c r="A450" s="120"/>
      <c r="B450" s="120"/>
      <c r="C450" s="120"/>
      <c r="D450" s="119"/>
      <c r="E450" s="115"/>
      <c r="F450" s="115"/>
      <c r="G450" s="116"/>
      <c r="H450" s="116"/>
      <c r="I450" s="132"/>
      <c r="J450" s="115"/>
    </row>
    <row r="451">
      <c r="A451" s="120"/>
      <c r="B451" s="120"/>
      <c r="C451" s="120"/>
      <c r="D451" s="119"/>
      <c r="E451" s="115"/>
      <c r="F451" s="115"/>
      <c r="G451" s="116"/>
      <c r="H451" s="116"/>
      <c r="I451" s="132"/>
      <c r="J451" s="115"/>
    </row>
    <row r="452">
      <c r="A452" s="120"/>
      <c r="B452" s="120"/>
      <c r="C452" s="120"/>
      <c r="D452" s="119"/>
      <c r="E452" s="115"/>
      <c r="F452" s="115"/>
      <c r="G452" s="116"/>
      <c r="H452" s="116"/>
      <c r="I452" s="132"/>
      <c r="J452" s="115"/>
    </row>
    <row r="453">
      <c r="A453" s="120"/>
      <c r="B453" s="120"/>
      <c r="C453" s="120"/>
      <c r="D453" s="119"/>
      <c r="E453" s="115"/>
      <c r="F453" s="115"/>
      <c r="G453" s="116"/>
      <c r="H453" s="116"/>
      <c r="I453" s="132"/>
      <c r="J453" s="115"/>
    </row>
    <row r="454">
      <c r="A454" s="120"/>
      <c r="B454" s="120"/>
      <c r="C454" s="120"/>
      <c r="D454" s="119"/>
      <c r="E454" s="115"/>
      <c r="F454" s="115"/>
      <c r="G454" s="116"/>
      <c r="H454" s="116"/>
      <c r="I454" s="132"/>
      <c r="J454" s="115"/>
    </row>
    <row r="455">
      <c r="A455" s="120"/>
      <c r="B455" s="120"/>
      <c r="C455" s="120"/>
      <c r="D455" s="119"/>
      <c r="E455" s="115"/>
      <c r="F455" s="115"/>
      <c r="G455" s="116"/>
      <c r="H455" s="116"/>
      <c r="I455" s="132"/>
      <c r="J455" s="115"/>
    </row>
    <row r="456">
      <c r="A456" s="120"/>
      <c r="B456" s="120"/>
      <c r="C456" s="120"/>
      <c r="D456" s="119"/>
      <c r="E456" s="115"/>
      <c r="F456" s="115"/>
      <c r="G456" s="116"/>
      <c r="H456" s="116"/>
      <c r="I456" s="132"/>
      <c r="J456" s="115"/>
    </row>
    <row r="457">
      <c r="A457" s="120"/>
      <c r="B457" s="120"/>
      <c r="C457" s="120"/>
      <c r="D457" s="119"/>
      <c r="E457" s="115"/>
      <c r="F457" s="115"/>
      <c r="G457" s="116"/>
      <c r="H457" s="116"/>
      <c r="I457" s="132"/>
      <c r="J457" s="115"/>
    </row>
    <row r="458">
      <c r="A458" s="120"/>
      <c r="B458" s="120"/>
      <c r="C458" s="120"/>
      <c r="D458" s="119"/>
      <c r="E458" s="115"/>
      <c r="F458" s="115"/>
      <c r="G458" s="116"/>
      <c r="H458" s="116"/>
      <c r="I458" s="132"/>
      <c r="J458" s="115"/>
    </row>
    <row r="459">
      <c r="A459" s="120"/>
      <c r="B459" s="120"/>
      <c r="C459" s="120"/>
      <c r="D459" s="119"/>
      <c r="E459" s="115"/>
      <c r="F459" s="115"/>
      <c r="G459" s="116"/>
      <c r="H459" s="116"/>
      <c r="I459" s="132"/>
      <c r="J459" s="115"/>
    </row>
    <row r="460">
      <c r="A460" s="120"/>
      <c r="B460" s="120"/>
      <c r="C460" s="120"/>
      <c r="D460" s="119"/>
      <c r="E460" s="115"/>
      <c r="F460" s="115"/>
      <c r="G460" s="116"/>
      <c r="H460" s="116"/>
      <c r="I460" s="132"/>
      <c r="J460" s="115"/>
    </row>
    <row r="461">
      <c r="A461" s="120"/>
      <c r="B461" s="120"/>
      <c r="C461" s="120"/>
      <c r="D461" s="119"/>
      <c r="E461" s="115"/>
      <c r="F461" s="115"/>
      <c r="G461" s="116"/>
      <c r="H461" s="116"/>
      <c r="I461" s="132"/>
      <c r="J461" s="115"/>
    </row>
    <row r="462">
      <c r="A462" s="120"/>
      <c r="B462" s="120"/>
      <c r="C462" s="120"/>
      <c r="D462" s="119"/>
      <c r="E462" s="115"/>
      <c r="F462" s="115"/>
      <c r="G462" s="116"/>
      <c r="H462" s="116"/>
      <c r="I462" s="132"/>
      <c r="J462" s="115"/>
    </row>
    <row r="463">
      <c r="A463" s="120"/>
      <c r="B463" s="120"/>
      <c r="C463" s="120"/>
      <c r="D463" s="119"/>
      <c r="E463" s="115"/>
      <c r="F463" s="115"/>
      <c r="G463" s="116"/>
      <c r="H463" s="116"/>
      <c r="I463" s="132"/>
      <c r="J463" s="115"/>
    </row>
    <row r="464">
      <c r="A464" s="120"/>
      <c r="B464" s="120"/>
      <c r="C464" s="120"/>
      <c r="D464" s="119"/>
      <c r="E464" s="115"/>
      <c r="F464" s="115"/>
      <c r="G464" s="116"/>
      <c r="H464" s="116"/>
      <c r="I464" s="132"/>
      <c r="J464" s="115"/>
    </row>
    <row r="465">
      <c r="A465" s="120"/>
      <c r="B465" s="120"/>
      <c r="C465" s="120"/>
      <c r="D465" s="119"/>
      <c r="E465" s="115"/>
      <c r="F465" s="115"/>
      <c r="G465" s="116"/>
      <c r="H465" s="116"/>
      <c r="I465" s="132"/>
      <c r="J465" s="115"/>
    </row>
    <row r="466">
      <c r="A466" s="120"/>
      <c r="B466" s="120"/>
      <c r="C466" s="120"/>
      <c r="D466" s="119"/>
      <c r="E466" s="115"/>
      <c r="F466" s="115"/>
      <c r="G466" s="116"/>
      <c r="H466" s="116"/>
      <c r="I466" s="132"/>
      <c r="J466" s="115"/>
    </row>
    <row r="467">
      <c r="A467" s="120"/>
      <c r="B467" s="120"/>
      <c r="C467" s="120"/>
      <c r="D467" s="119"/>
      <c r="E467" s="115"/>
      <c r="F467" s="115"/>
      <c r="G467" s="116"/>
      <c r="H467" s="116"/>
      <c r="I467" s="132"/>
      <c r="J467" s="115"/>
    </row>
    <row r="468">
      <c r="A468" s="120"/>
      <c r="B468" s="120"/>
      <c r="C468" s="120"/>
      <c r="D468" s="119"/>
      <c r="E468" s="115"/>
      <c r="F468" s="115"/>
      <c r="G468" s="116"/>
      <c r="H468" s="116"/>
      <c r="I468" s="132"/>
      <c r="J468" s="115"/>
    </row>
    <row r="469">
      <c r="A469" s="120"/>
      <c r="B469" s="120"/>
      <c r="C469" s="120"/>
      <c r="D469" s="119"/>
      <c r="E469" s="115"/>
      <c r="F469" s="115"/>
      <c r="G469" s="116"/>
      <c r="H469" s="116"/>
      <c r="I469" s="132"/>
      <c r="J469" s="115"/>
    </row>
    <row r="470">
      <c r="A470" s="120"/>
      <c r="B470" s="120"/>
      <c r="C470" s="120"/>
      <c r="D470" s="119"/>
      <c r="E470" s="115"/>
      <c r="F470" s="115"/>
      <c r="G470" s="116"/>
      <c r="H470" s="116"/>
      <c r="I470" s="132"/>
      <c r="J470" s="115"/>
    </row>
    <row r="471">
      <c r="A471" s="120"/>
      <c r="B471" s="120"/>
      <c r="C471" s="120"/>
      <c r="D471" s="119"/>
      <c r="E471" s="115"/>
      <c r="F471" s="115"/>
      <c r="G471" s="116"/>
      <c r="H471" s="116"/>
      <c r="I471" s="132"/>
      <c r="J471" s="115"/>
    </row>
    <row r="472">
      <c r="A472" s="120"/>
      <c r="B472" s="120"/>
      <c r="C472" s="120"/>
      <c r="D472" s="119"/>
      <c r="E472" s="115"/>
      <c r="F472" s="115"/>
      <c r="G472" s="116"/>
      <c r="H472" s="116"/>
      <c r="I472" s="132"/>
      <c r="J472" s="115"/>
    </row>
    <row r="473">
      <c r="A473" s="120"/>
      <c r="B473" s="120"/>
      <c r="C473" s="120"/>
      <c r="D473" s="119"/>
      <c r="E473" s="115"/>
      <c r="F473" s="115"/>
      <c r="G473" s="116"/>
      <c r="H473" s="116"/>
      <c r="I473" s="132"/>
      <c r="J473" s="115"/>
    </row>
    <row r="474">
      <c r="A474" s="120"/>
      <c r="B474" s="120"/>
      <c r="C474" s="120"/>
      <c r="D474" s="119"/>
      <c r="E474" s="115"/>
      <c r="F474" s="115"/>
      <c r="G474" s="116"/>
      <c r="H474" s="116"/>
      <c r="I474" s="132"/>
      <c r="J474" s="115"/>
    </row>
    <row r="475">
      <c r="A475" s="120"/>
      <c r="B475" s="120"/>
      <c r="C475" s="120"/>
      <c r="D475" s="119"/>
      <c r="E475" s="115"/>
      <c r="F475" s="115"/>
      <c r="G475" s="116"/>
      <c r="H475" s="116"/>
      <c r="I475" s="132"/>
      <c r="J475" s="115"/>
    </row>
    <row r="476">
      <c r="A476" s="120"/>
      <c r="B476" s="120"/>
      <c r="C476" s="120"/>
      <c r="D476" s="119"/>
      <c r="E476" s="115"/>
      <c r="F476" s="115"/>
      <c r="G476" s="116"/>
      <c r="H476" s="116"/>
      <c r="I476" s="132"/>
      <c r="J476" s="115"/>
    </row>
    <row r="477">
      <c r="A477" s="120"/>
      <c r="B477" s="120"/>
      <c r="C477" s="120"/>
      <c r="D477" s="119"/>
      <c r="E477" s="115"/>
      <c r="F477" s="115"/>
      <c r="G477" s="116"/>
      <c r="H477" s="116"/>
      <c r="I477" s="132"/>
      <c r="J477" s="115"/>
    </row>
    <row r="478">
      <c r="A478" s="120"/>
      <c r="B478" s="120"/>
      <c r="C478" s="120"/>
      <c r="D478" s="119"/>
      <c r="E478" s="115"/>
      <c r="F478" s="115"/>
      <c r="G478" s="116"/>
      <c r="H478" s="116"/>
      <c r="I478" s="132"/>
      <c r="J478" s="115"/>
    </row>
    <row r="479">
      <c r="A479" s="120"/>
      <c r="B479" s="120"/>
      <c r="C479" s="120"/>
      <c r="D479" s="119"/>
      <c r="E479" s="115"/>
      <c r="F479" s="115"/>
      <c r="G479" s="116"/>
      <c r="H479" s="116"/>
      <c r="I479" s="132"/>
      <c r="J479" s="115"/>
    </row>
    <row r="480">
      <c r="A480" s="120"/>
      <c r="B480" s="120"/>
      <c r="C480" s="120"/>
      <c r="D480" s="119"/>
      <c r="E480" s="115"/>
      <c r="F480" s="115"/>
      <c r="G480" s="116"/>
      <c r="H480" s="116"/>
      <c r="I480" s="132"/>
      <c r="J480" s="115"/>
    </row>
    <row r="481">
      <c r="A481" s="120"/>
      <c r="B481" s="120"/>
      <c r="C481" s="120"/>
      <c r="D481" s="119"/>
      <c r="E481" s="115"/>
      <c r="F481" s="115"/>
      <c r="G481" s="116"/>
      <c r="H481" s="116"/>
      <c r="I481" s="132"/>
      <c r="J481" s="115"/>
    </row>
    <row r="482">
      <c r="A482" s="120"/>
      <c r="B482" s="120"/>
      <c r="C482" s="120"/>
      <c r="D482" s="119"/>
      <c r="E482" s="115"/>
      <c r="F482" s="115"/>
      <c r="G482" s="116"/>
      <c r="H482" s="116"/>
      <c r="I482" s="132"/>
      <c r="J482" s="115"/>
    </row>
    <row r="483">
      <c r="A483" s="120"/>
      <c r="B483" s="120"/>
      <c r="C483" s="120"/>
      <c r="D483" s="119"/>
      <c r="E483" s="115"/>
      <c r="F483" s="115"/>
      <c r="G483" s="116"/>
      <c r="H483" s="116"/>
      <c r="I483" s="132"/>
      <c r="J483" s="115"/>
    </row>
    <row r="484">
      <c r="A484" s="120"/>
      <c r="B484" s="120"/>
      <c r="C484" s="120"/>
      <c r="D484" s="119"/>
      <c r="E484" s="115"/>
      <c r="F484" s="115"/>
      <c r="G484" s="116"/>
      <c r="H484" s="116"/>
      <c r="I484" s="132"/>
      <c r="J484" s="115"/>
    </row>
    <row r="485">
      <c r="A485" s="120"/>
      <c r="B485" s="120"/>
      <c r="C485" s="120"/>
      <c r="D485" s="119"/>
      <c r="E485" s="115"/>
      <c r="F485" s="115"/>
      <c r="G485" s="116"/>
      <c r="H485" s="116"/>
      <c r="I485" s="132"/>
      <c r="J485" s="115"/>
    </row>
    <row r="486">
      <c r="A486" s="120"/>
      <c r="B486" s="120"/>
      <c r="C486" s="120"/>
      <c r="D486" s="119"/>
      <c r="E486" s="115"/>
      <c r="F486" s="115"/>
      <c r="G486" s="116"/>
      <c r="H486" s="116"/>
      <c r="I486" s="132"/>
      <c r="J486" s="115"/>
    </row>
    <row r="487">
      <c r="A487" s="120"/>
      <c r="B487" s="120"/>
      <c r="C487" s="120"/>
      <c r="D487" s="119"/>
      <c r="E487" s="115"/>
      <c r="F487" s="115"/>
      <c r="G487" s="116"/>
      <c r="H487" s="116"/>
      <c r="I487" s="132"/>
      <c r="J487" s="115"/>
    </row>
    <row r="488">
      <c r="A488" s="120"/>
      <c r="B488" s="120"/>
      <c r="C488" s="120"/>
      <c r="D488" s="119"/>
      <c r="E488" s="115"/>
      <c r="F488" s="115"/>
      <c r="G488" s="116"/>
      <c r="H488" s="116"/>
      <c r="I488" s="132"/>
      <c r="J488" s="115"/>
    </row>
    <row r="489">
      <c r="A489" s="120"/>
      <c r="B489" s="120"/>
      <c r="C489" s="120"/>
      <c r="D489" s="119"/>
      <c r="E489" s="115"/>
      <c r="F489" s="115"/>
      <c r="G489" s="116"/>
      <c r="H489" s="116"/>
      <c r="I489" s="132"/>
      <c r="J489" s="115"/>
    </row>
    <row r="490">
      <c r="A490" s="120"/>
      <c r="B490" s="120"/>
      <c r="C490" s="120"/>
      <c r="D490" s="119"/>
      <c r="E490" s="115"/>
      <c r="F490" s="115"/>
      <c r="G490" s="116"/>
      <c r="H490" s="116"/>
      <c r="I490" s="132"/>
      <c r="J490" s="115"/>
    </row>
    <row r="491">
      <c r="A491" s="120"/>
      <c r="B491" s="120"/>
      <c r="C491" s="120"/>
      <c r="D491" s="119"/>
      <c r="E491" s="115"/>
      <c r="F491" s="115"/>
      <c r="G491" s="116"/>
      <c r="H491" s="116"/>
      <c r="I491" s="132"/>
      <c r="J491" s="115"/>
    </row>
    <row r="492">
      <c r="A492" s="120"/>
      <c r="B492" s="120"/>
      <c r="C492" s="120"/>
      <c r="D492" s="119"/>
      <c r="E492" s="115"/>
      <c r="F492" s="115"/>
      <c r="G492" s="116"/>
      <c r="H492" s="116"/>
      <c r="I492" s="132"/>
      <c r="J492" s="115"/>
    </row>
    <row r="493">
      <c r="A493" s="120"/>
      <c r="B493" s="120"/>
      <c r="C493" s="120"/>
      <c r="D493" s="119"/>
      <c r="E493" s="115"/>
      <c r="F493" s="115"/>
      <c r="G493" s="116"/>
      <c r="H493" s="116"/>
      <c r="I493" s="132"/>
      <c r="J493" s="115"/>
    </row>
    <row r="494">
      <c r="A494" s="120"/>
      <c r="B494" s="120"/>
      <c r="C494" s="120"/>
      <c r="D494" s="119"/>
      <c r="E494" s="115"/>
      <c r="F494" s="115"/>
      <c r="G494" s="116"/>
      <c r="H494" s="116"/>
      <c r="I494" s="132"/>
      <c r="J494" s="115"/>
    </row>
    <row r="495">
      <c r="A495" s="120"/>
      <c r="B495" s="120"/>
      <c r="C495" s="120"/>
      <c r="D495" s="119"/>
      <c r="E495" s="115"/>
      <c r="F495" s="115"/>
      <c r="G495" s="116"/>
      <c r="H495" s="116"/>
      <c r="I495" s="132"/>
      <c r="J495" s="115"/>
    </row>
    <row r="496">
      <c r="A496" s="120"/>
      <c r="B496" s="120"/>
      <c r="C496" s="120"/>
      <c r="D496" s="119"/>
      <c r="E496" s="115"/>
      <c r="F496" s="115"/>
      <c r="G496" s="116"/>
      <c r="H496" s="116"/>
      <c r="I496" s="132"/>
      <c r="J496" s="115"/>
    </row>
    <row r="497">
      <c r="A497" s="120"/>
      <c r="B497" s="120"/>
      <c r="C497" s="120"/>
      <c r="D497" s="119"/>
      <c r="E497" s="115"/>
      <c r="F497" s="115"/>
      <c r="G497" s="116"/>
      <c r="H497" s="116"/>
      <c r="I497" s="132"/>
      <c r="J497" s="115"/>
    </row>
    <row r="498">
      <c r="A498" s="120"/>
      <c r="B498" s="120"/>
      <c r="C498" s="120"/>
      <c r="D498" s="119"/>
      <c r="E498" s="115"/>
      <c r="F498" s="115"/>
      <c r="G498" s="116"/>
      <c r="H498" s="116"/>
      <c r="I498" s="132"/>
      <c r="J498" s="115"/>
    </row>
    <row r="499">
      <c r="A499" s="120"/>
      <c r="B499" s="120"/>
      <c r="C499" s="120"/>
      <c r="D499" s="119"/>
      <c r="E499" s="115"/>
      <c r="F499" s="115"/>
      <c r="G499" s="116"/>
      <c r="H499" s="116"/>
      <c r="I499" s="132"/>
      <c r="J499" s="115"/>
    </row>
    <row r="500">
      <c r="A500" s="120"/>
      <c r="B500" s="120"/>
      <c r="C500" s="120"/>
      <c r="D500" s="119"/>
      <c r="E500" s="115"/>
      <c r="F500" s="115"/>
      <c r="G500" s="116"/>
      <c r="H500" s="116"/>
      <c r="I500" s="132"/>
      <c r="J500" s="115"/>
    </row>
    <row r="501">
      <c r="A501" s="120"/>
      <c r="B501" s="120"/>
      <c r="C501" s="120"/>
      <c r="D501" s="119"/>
      <c r="E501" s="115"/>
      <c r="F501" s="115"/>
      <c r="G501" s="116"/>
      <c r="H501" s="116"/>
      <c r="I501" s="132"/>
      <c r="J501" s="115"/>
    </row>
    <row r="502">
      <c r="A502" s="120"/>
      <c r="B502" s="120"/>
      <c r="C502" s="120"/>
      <c r="D502" s="119"/>
      <c r="E502" s="115"/>
      <c r="F502" s="115"/>
      <c r="G502" s="116"/>
      <c r="H502" s="116"/>
      <c r="I502" s="132"/>
      <c r="J502" s="115"/>
    </row>
    <row r="503">
      <c r="A503" s="120"/>
      <c r="B503" s="120"/>
      <c r="C503" s="120"/>
      <c r="D503" s="119"/>
      <c r="E503" s="115"/>
      <c r="F503" s="115"/>
      <c r="G503" s="116"/>
      <c r="H503" s="116"/>
      <c r="I503" s="132"/>
      <c r="J503" s="115"/>
    </row>
    <row r="504">
      <c r="A504" s="120"/>
      <c r="B504" s="120"/>
      <c r="C504" s="120"/>
      <c r="D504" s="119"/>
      <c r="E504" s="115"/>
      <c r="F504" s="115"/>
      <c r="G504" s="116"/>
      <c r="H504" s="116"/>
      <c r="I504" s="132"/>
      <c r="J504" s="115"/>
    </row>
    <row r="505">
      <c r="A505" s="120"/>
      <c r="B505" s="120"/>
      <c r="C505" s="120"/>
      <c r="D505" s="119"/>
      <c r="E505" s="115"/>
      <c r="F505" s="115"/>
      <c r="G505" s="116"/>
      <c r="H505" s="116"/>
      <c r="I505" s="132"/>
      <c r="J505" s="115"/>
    </row>
    <row r="506">
      <c r="A506" s="120"/>
      <c r="B506" s="120"/>
      <c r="C506" s="120"/>
      <c r="D506" s="119"/>
      <c r="E506" s="115"/>
      <c r="F506" s="115"/>
      <c r="G506" s="116"/>
      <c r="H506" s="116"/>
      <c r="I506" s="132"/>
      <c r="J506" s="115"/>
    </row>
    <row r="507">
      <c r="A507" s="120"/>
      <c r="B507" s="120"/>
      <c r="C507" s="120"/>
      <c r="D507" s="119"/>
      <c r="E507" s="115"/>
      <c r="F507" s="115"/>
      <c r="G507" s="116"/>
      <c r="H507" s="116"/>
      <c r="I507" s="132"/>
      <c r="J507" s="115"/>
    </row>
    <row r="508">
      <c r="A508" s="120"/>
      <c r="B508" s="120"/>
      <c r="C508" s="120"/>
      <c r="D508" s="119"/>
      <c r="E508" s="115"/>
      <c r="F508" s="115"/>
      <c r="G508" s="116"/>
      <c r="H508" s="116"/>
      <c r="I508" s="132"/>
      <c r="J508" s="115"/>
    </row>
    <row r="509">
      <c r="A509" s="120"/>
      <c r="B509" s="120"/>
      <c r="C509" s="120"/>
      <c r="D509" s="119"/>
      <c r="E509" s="115"/>
      <c r="F509" s="115"/>
      <c r="G509" s="116"/>
      <c r="H509" s="116"/>
      <c r="I509" s="132"/>
      <c r="J509" s="115"/>
    </row>
    <row r="510">
      <c r="A510" s="120"/>
      <c r="B510" s="120"/>
      <c r="C510" s="120"/>
      <c r="D510" s="119"/>
      <c r="E510" s="115"/>
      <c r="F510" s="115"/>
      <c r="G510" s="116"/>
      <c r="H510" s="116"/>
      <c r="I510" s="132"/>
      <c r="J510" s="115"/>
    </row>
    <row r="511">
      <c r="A511" s="120"/>
      <c r="B511" s="120"/>
      <c r="C511" s="120"/>
      <c r="D511" s="119"/>
      <c r="E511" s="115"/>
      <c r="F511" s="115"/>
      <c r="G511" s="116"/>
      <c r="H511" s="116"/>
      <c r="I511" s="132"/>
      <c r="J511" s="115"/>
    </row>
    <row r="512">
      <c r="A512" s="120"/>
      <c r="B512" s="120"/>
      <c r="C512" s="120"/>
      <c r="D512" s="119"/>
      <c r="E512" s="115"/>
      <c r="F512" s="115"/>
      <c r="G512" s="116"/>
      <c r="H512" s="116"/>
      <c r="I512" s="132"/>
      <c r="J512" s="115"/>
    </row>
    <row r="513">
      <c r="A513" s="120"/>
      <c r="B513" s="120"/>
      <c r="C513" s="120"/>
      <c r="D513" s="119"/>
      <c r="E513" s="115"/>
      <c r="F513" s="115"/>
      <c r="G513" s="116"/>
      <c r="H513" s="116"/>
      <c r="I513" s="132"/>
      <c r="J513" s="115"/>
    </row>
    <row r="514">
      <c r="A514" s="120"/>
      <c r="B514" s="120"/>
      <c r="C514" s="120"/>
      <c r="D514" s="119"/>
      <c r="E514" s="115"/>
      <c r="F514" s="115"/>
      <c r="G514" s="116"/>
      <c r="H514" s="116"/>
      <c r="I514" s="132"/>
      <c r="J514" s="115"/>
    </row>
    <row r="515">
      <c r="A515" s="120"/>
      <c r="B515" s="120"/>
      <c r="C515" s="120"/>
      <c r="D515" s="119"/>
      <c r="E515" s="115"/>
      <c r="F515" s="115"/>
      <c r="G515" s="116"/>
      <c r="H515" s="116"/>
      <c r="I515" s="132"/>
      <c r="J515" s="115"/>
    </row>
    <row r="516">
      <c r="A516" s="120"/>
      <c r="B516" s="120"/>
      <c r="C516" s="120"/>
      <c r="D516" s="119"/>
      <c r="E516" s="115"/>
      <c r="F516" s="115"/>
      <c r="G516" s="116"/>
      <c r="H516" s="116"/>
      <c r="I516" s="132"/>
      <c r="J516" s="115"/>
    </row>
    <row r="517">
      <c r="A517" s="120"/>
      <c r="B517" s="120"/>
      <c r="C517" s="120"/>
      <c r="D517" s="119"/>
      <c r="E517" s="115"/>
      <c r="F517" s="115"/>
      <c r="G517" s="116"/>
      <c r="H517" s="116"/>
      <c r="I517" s="132"/>
      <c r="J517" s="115"/>
    </row>
    <row r="518">
      <c r="A518" s="120"/>
      <c r="B518" s="120"/>
      <c r="C518" s="120"/>
      <c r="D518" s="119"/>
      <c r="E518" s="115"/>
      <c r="F518" s="115"/>
      <c r="G518" s="116"/>
      <c r="H518" s="116"/>
      <c r="I518" s="132"/>
      <c r="J518" s="115"/>
    </row>
    <row r="519">
      <c r="A519" s="120"/>
      <c r="B519" s="120"/>
      <c r="C519" s="120"/>
      <c r="D519" s="119"/>
      <c r="E519" s="115"/>
      <c r="F519" s="115"/>
      <c r="G519" s="116"/>
      <c r="H519" s="116"/>
      <c r="I519" s="132"/>
      <c r="J519" s="115"/>
    </row>
    <row r="520">
      <c r="A520" s="120"/>
      <c r="B520" s="120"/>
      <c r="C520" s="120"/>
      <c r="D520" s="119"/>
      <c r="E520" s="115"/>
      <c r="F520" s="115"/>
      <c r="G520" s="116"/>
      <c r="H520" s="116"/>
      <c r="I520" s="132"/>
      <c r="J520" s="115"/>
    </row>
    <row r="521">
      <c r="A521" s="120"/>
      <c r="B521" s="120"/>
      <c r="C521" s="120"/>
      <c r="D521" s="119"/>
      <c r="E521" s="115"/>
      <c r="F521" s="115"/>
      <c r="G521" s="116"/>
      <c r="H521" s="116"/>
      <c r="I521" s="132"/>
      <c r="J521" s="115"/>
    </row>
    <row r="522">
      <c r="A522" s="120"/>
      <c r="B522" s="120"/>
      <c r="C522" s="120"/>
      <c r="D522" s="119"/>
      <c r="E522" s="115"/>
      <c r="F522" s="115"/>
      <c r="G522" s="116"/>
      <c r="H522" s="116"/>
      <c r="I522" s="132"/>
      <c r="J522" s="115"/>
    </row>
    <row r="523">
      <c r="A523" s="120"/>
      <c r="B523" s="120"/>
      <c r="C523" s="120"/>
      <c r="D523" s="119"/>
      <c r="E523" s="115"/>
      <c r="F523" s="115"/>
      <c r="G523" s="116"/>
      <c r="H523" s="116"/>
      <c r="I523" s="132"/>
      <c r="J523" s="115"/>
    </row>
    <row r="524">
      <c r="A524" s="120"/>
      <c r="B524" s="120"/>
      <c r="C524" s="120"/>
      <c r="D524" s="119"/>
      <c r="E524" s="115"/>
      <c r="F524" s="115"/>
      <c r="G524" s="116"/>
      <c r="H524" s="116"/>
      <c r="I524" s="132"/>
      <c r="J524" s="115"/>
    </row>
    <row r="525">
      <c r="A525" s="120"/>
      <c r="B525" s="120"/>
      <c r="C525" s="120"/>
      <c r="D525" s="119"/>
      <c r="E525" s="115"/>
      <c r="F525" s="115"/>
      <c r="G525" s="116"/>
      <c r="H525" s="116"/>
      <c r="I525" s="132"/>
      <c r="J525" s="115"/>
    </row>
    <row r="526">
      <c r="A526" s="120"/>
      <c r="B526" s="120"/>
      <c r="C526" s="120"/>
      <c r="D526" s="119"/>
      <c r="E526" s="115"/>
      <c r="F526" s="115"/>
      <c r="G526" s="116"/>
      <c r="H526" s="116"/>
      <c r="I526" s="132"/>
      <c r="J526" s="115"/>
    </row>
    <row r="527">
      <c r="A527" s="120"/>
      <c r="B527" s="120"/>
      <c r="C527" s="120"/>
      <c r="D527" s="119"/>
      <c r="E527" s="115"/>
      <c r="F527" s="115"/>
      <c r="G527" s="116"/>
      <c r="H527" s="116"/>
      <c r="I527" s="132"/>
      <c r="J527" s="115"/>
    </row>
    <row r="528">
      <c r="A528" s="120"/>
      <c r="B528" s="120"/>
      <c r="C528" s="120"/>
      <c r="D528" s="119"/>
      <c r="E528" s="115"/>
      <c r="F528" s="115"/>
      <c r="G528" s="116"/>
      <c r="H528" s="116"/>
      <c r="I528" s="132"/>
      <c r="J528" s="115"/>
    </row>
    <row r="529">
      <c r="A529" s="120"/>
      <c r="B529" s="120"/>
      <c r="C529" s="120"/>
      <c r="D529" s="119"/>
      <c r="E529" s="115"/>
      <c r="F529" s="115"/>
      <c r="G529" s="116"/>
      <c r="H529" s="116"/>
      <c r="I529" s="132"/>
      <c r="J529" s="115"/>
    </row>
    <row r="530">
      <c r="A530" s="120"/>
      <c r="B530" s="120"/>
      <c r="C530" s="120"/>
      <c r="D530" s="119"/>
      <c r="E530" s="115"/>
      <c r="F530" s="115"/>
      <c r="G530" s="116"/>
      <c r="H530" s="116"/>
      <c r="I530" s="132"/>
      <c r="J530" s="115"/>
    </row>
    <row r="531">
      <c r="A531" s="120"/>
      <c r="B531" s="120"/>
      <c r="C531" s="120"/>
      <c r="D531" s="119"/>
      <c r="E531" s="115"/>
      <c r="F531" s="115"/>
      <c r="G531" s="116"/>
      <c r="H531" s="116"/>
      <c r="I531" s="132"/>
      <c r="J531" s="115"/>
    </row>
    <row r="532">
      <c r="A532" s="120"/>
      <c r="B532" s="120"/>
      <c r="C532" s="120"/>
      <c r="D532" s="119"/>
      <c r="E532" s="115"/>
      <c r="F532" s="115"/>
      <c r="G532" s="116"/>
      <c r="H532" s="116"/>
      <c r="I532" s="132"/>
      <c r="J532" s="115"/>
    </row>
    <row r="533">
      <c r="A533" s="120"/>
      <c r="B533" s="120"/>
      <c r="C533" s="120"/>
      <c r="D533" s="119"/>
      <c r="E533" s="115"/>
      <c r="F533" s="115"/>
      <c r="G533" s="116"/>
      <c r="H533" s="116"/>
      <c r="I533" s="132"/>
      <c r="J533" s="115"/>
    </row>
    <row r="534">
      <c r="A534" s="120"/>
      <c r="B534" s="120"/>
      <c r="C534" s="120"/>
      <c r="D534" s="119"/>
      <c r="E534" s="115"/>
      <c r="F534" s="115"/>
      <c r="G534" s="116"/>
      <c r="H534" s="116"/>
      <c r="I534" s="132"/>
      <c r="J534" s="115"/>
    </row>
    <row r="535">
      <c r="A535" s="120"/>
      <c r="B535" s="120"/>
      <c r="C535" s="120"/>
      <c r="D535" s="119"/>
      <c r="E535" s="115"/>
      <c r="F535" s="115"/>
      <c r="G535" s="116"/>
      <c r="H535" s="116"/>
      <c r="I535" s="132"/>
      <c r="J535" s="115"/>
    </row>
    <row r="536">
      <c r="A536" s="120"/>
      <c r="B536" s="120"/>
      <c r="C536" s="120"/>
      <c r="D536" s="119"/>
      <c r="E536" s="115"/>
      <c r="F536" s="115"/>
      <c r="G536" s="116"/>
      <c r="H536" s="116"/>
      <c r="I536" s="132"/>
      <c r="J536" s="115"/>
    </row>
    <row r="537">
      <c r="A537" s="120"/>
      <c r="B537" s="120"/>
      <c r="C537" s="120"/>
      <c r="D537" s="119"/>
      <c r="E537" s="115"/>
      <c r="F537" s="115"/>
      <c r="G537" s="116"/>
      <c r="H537" s="116"/>
      <c r="I537" s="132"/>
      <c r="J537" s="115"/>
    </row>
    <row r="538">
      <c r="A538" s="120"/>
      <c r="B538" s="120"/>
      <c r="C538" s="120"/>
      <c r="D538" s="119"/>
      <c r="E538" s="115"/>
      <c r="F538" s="115"/>
      <c r="G538" s="116"/>
      <c r="H538" s="116"/>
      <c r="I538" s="132"/>
      <c r="J538" s="115"/>
    </row>
    <row r="539">
      <c r="A539" s="120"/>
      <c r="B539" s="120"/>
      <c r="C539" s="120"/>
      <c r="D539" s="119"/>
      <c r="E539" s="115"/>
      <c r="F539" s="115"/>
      <c r="G539" s="116"/>
      <c r="H539" s="116"/>
      <c r="I539" s="132"/>
      <c r="J539" s="115"/>
    </row>
    <row r="540">
      <c r="A540" s="120"/>
      <c r="B540" s="120"/>
      <c r="C540" s="120"/>
      <c r="D540" s="119"/>
      <c r="E540" s="115"/>
      <c r="F540" s="115"/>
      <c r="G540" s="116"/>
      <c r="H540" s="116"/>
      <c r="I540" s="132"/>
      <c r="J540" s="115"/>
    </row>
    <row r="541">
      <c r="A541" s="120"/>
      <c r="B541" s="120"/>
      <c r="C541" s="120"/>
      <c r="D541" s="119"/>
      <c r="E541" s="115"/>
      <c r="F541" s="115"/>
      <c r="G541" s="116"/>
      <c r="H541" s="116"/>
      <c r="I541" s="132"/>
      <c r="J541" s="115"/>
    </row>
    <row r="542">
      <c r="A542" s="120"/>
      <c r="B542" s="120"/>
      <c r="C542" s="120"/>
      <c r="D542" s="119"/>
      <c r="E542" s="115"/>
      <c r="F542" s="115"/>
      <c r="G542" s="116"/>
      <c r="H542" s="116"/>
      <c r="I542" s="132"/>
      <c r="J542" s="115"/>
    </row>
    <row r="543">
      <c r="A543" s="120"/>
      <c r="B543" s="120"/>
      <c r="C543" s="120"/>
      <c r="D543" s="119"/>
      <c r="E543" s="115"/>
      <c r="F543" s="115"/>
      <c r="G543" s="116"/>
      <c r="H543" s="116"/>
      <c r="I543" s="132"/>
      <c r="J543" s="115"/>
    </row>
    <row r="544">
      <c r="A544" s="120"/>
      <c r="B544" s="120"/>
      <c r="C544" s="120"/>
      <c r="D544" s="119"/>
      <c r="E544" s="115"/>
      <c r="F544" s="115"/>
      <c r="G544" s="116"/>
      <c r="H544" s="116"/>
      <c r="I544" s="132"/>
      <c r="J544" s="115"/>
    </row>
    <row r="545">
      <c r="A545" s="120"/>
      <c r="B545" s="120"/>
      <c r="C545" s="120"/>
      <c r="D545" s="119"/>
      <c r="E545" s="115"/>
      <c r="F545" s="115"/>
      <c r="G545" s="116"/>
      <c r="H545" s="116"/>
      <c r="I545" s="132"/>
      <c r="J545" s="115"/>
    </row>
    <row r="546">
      <c r="A546" s="120"/>
      <c r="B546" s="120"/>
      <c r="C546" s="120"/>
      <c r="D546" s="119"/>
      <c r="E546" s="115"/>
      <c r="F546" s="115"/>
      <c r="G546" s="116"/>
      <c r="H546" s="116"/>
      <c r="I546" s="132"/>
      <c r="J546" s="115"/>
    </row>
    <row r="547">
      <c r="A547" s="120"/>
      <c r="B547" s="120"/>
      <c r="C547" s="120"/>
      <c r="D547" s="119"/>
      <c r="E547" s="115"/>
      <c r="F547" s="115"/>
      <c r="G547" s="116"/>
      <c r="H547" s="116"/>
      <c r="I547" s="132"/>
      <c r="J547" s="115"/>
    </row>
    <row r="548">
      <c r="A548" s="120"/>
      <c r="B548" s="120"/>
      <c r="C548" s="120"/>
      <c r="D548" s="119"/>
      <c r="E548" s="115"/>
      <c r="F548" s="115"/>
      <c r="G548" s="116"/>
      <c r="H548" s="116"/>
      <c r="I548" s="132"/>
      <c r="J548" s="115"/>
    </row>
    <row r="549">
      <c r="A549" s="120"/>
      <c r="B549" s="120"/>
      <c r="C549" s="120"/>
      <c r="D549" s="119"/>
      <c r="E549" s="115"/>
      <c r="F549" s="115"/>
      <c r="G549" s="116"/>
      <c r="H549" s="116"/>
      <c r="I549" s="132"/>
      <c r="J549" s="115"/>
    </row>
    <row r="550">
      <c r="A550" s="120"/>
      <c r="B550" s="120"/>
      <c r="C550" s="120"/>
      <c r="D550" s="119"/>
      <c r="E550" s="115"/>
      <c r="F550" s="115"/>
      <c r="G550" s="116"/>
      <c r="H550" s="116"/>
      <c r="I550" s="132"/>
      <c r="J550" s="115"/>
    </row>
    <row r="551">
      <c r="A551" s="120"/>
      <c r="B551" s="120"/>
      <c r="C551" s="120"/>
      <c r="D551" s="119"/>
      <c r="E551" s="115"/>
      <c r="F551" s="115"/>
      <c r="G551" s="116"/>
      <c r="H551" s="116"/>
      <c r="I551" s="132"/>
      <c r="J551" s="115"/>
    </row>
    <row r="552">
      <c r="A552" s="120"/>
      <c r="B552" s="120"/>
      <c r="C552" s="120"/>
      <c r="D552" s="119"/>
      <c r="E552" s="115"/>
      <c r="F552" s="115"/>
      <c r="G552" s="116"/>
      <c r="H552" s="116"/>
      <c r="I552" s="132"/>
      <c r="J552" s="115"/>
    </row>
    <row r="553">
      <c r="A553" s="120"/>
      <c r="B553" s="120"/>
      <c r="C553" s="120"/>
      <c r="D553" s="119"/>
      <c r="E553" s="115"/>
      <c r="F553" s="115"/>
      <c r="G553" s="116"/>
      <c r="H553" s="116"/>
      <c r="I553" s="132"/>
      <c r="J553" s="115"/>
    </row>
    <row r="554">
      <c r="A554" s="120"/>
      <c r="B554" s="120"/>
      <c r="C554" s="120"/>
      <c r="D554" s="119"/>
      <c r="E554" s="115"/>
      <c r="F554" s="115"/>
      <c r="G554" s="116"/>
      <c r="H554" s="116"/>
      <c r="I554" s="132"/>
      <c r="J554" s="115"/>
    </row>
    <row r="555">
      <c r="A555" s="120"/>
      <c r="B555" s="120"/>
      <c r="C555" s="120"/>
      <c r="D555" s="119"/>
      <c r="E555" s="115"/>
      <c r="F555" s="115"/>
      <c r="G555" s="116"/>
      <c r="H555" s="116"/>
      <c r="I555" s="132"/>
      <c r="J555" s="115"/>
    </row>
    <row r="556">
      <c r="A556" s="120"/>
      <c r="B556" s="120"/>
      <c r="C556" s="120"/>
      <c r="D556" s="119"/>
      <c r="E556" s="115"/>
      <c r="F556" s="115"/>
      <c r="G556" s="116"/>
      <c r="H556" s="116"/>
      <c r="I556" s="132"/>
      <c r="J556" s="115"/>
    </row>
    <row r="557">
      <c r="A557" s="120"/>
      <c r="B557" s="120"/>
      <c r="C557" s="120"/>
      <c r="D557" s="119"/>
      <c r="E557" s="115"/>
      <c r="F557" s="115"/>
      <c r="G557" s="116"/>
      <c r="H557" s="116"/>
      <c r="I557" s="132"/>
      <c r="J557" s="115"/>
    </row>
    <row r="558">
      <c r="A558" s="120"/>
      <c r="B558" s="120"/>
      <c r="C558" s="120"/>
      <c r="D558" s="119"/>
      <c r="E558" s="115"/>
      <c r="F558" s="115"/>
      <c r="G558" s="116"/>
      <c r="H558" s="116"/>
      <c r="I558" s="132"/>
      <c r="J558" s="115"/>
    </row>
    <row r="559">
      <c r="A559" s="120"/>
      <c r="B559" s="120"/>
      <c r="C559" s="120"/>
      <c r="D559" s="119"/>
      <c r="E559" s="115"/>
      <c r="F559" s="115"/>
      <c r="G559" s="116"/>
      <c r="H559" s="116"/>
      <c r="I559" s="132"/>
      <c r="J559" s="115"/>
    </row>
    <row r="560">
      <c r="A560" s="120"/>
      <c r="B560" s="120"/>
      <c r="C560" s="120"/>
      <c r="D560" s="119"/>
      <c r="E560" s="115"/>
      <c r="F560" s="115"/>
      <c r="G560" s="116"/>
      <c r="H560" s="116"/>
      <c r="I560" s="132"/>
      <c r="J560" s="115"/>
    </row>
    <row r="561">
      <c r="A561" s="120"/>
      <c r="B561" s="120"/>
      <c r="C561" s="120"/>
      <c r="D561" s="119"/>
      <c r="E561" s="115"/>
      <c r="F561" s="115"/>
      <c r="G561" s="116"/>
      <c r="H561" s="116"/>
      <c r="I561" s="132"/>
      <c r="J561" s="115"/>
    </row>
    <row r="562">
      <c r="A562" s="120"/>
      <c r="B562" s="120"/>
      <c r="C562" s="120"/>
      <c r="D562" s="119"/>
      <c r="E562" s="115"/>
      <c r="F562" s="115"/>
      <c r="G562" s="116"/>
      <c r="H562" s="116"/>
      <c r="I562" s="132"/>
      <c r="J562" s="115"/>
    </row>
    <row r="563">
      <c r="A563" s="120"/>
      <c r="B563" s="120"/>
      <c r="C563" s="120"/>
      <c r="D563" s="119"/>
      <c r="E563" s="115"/>
      <c r="F563" s="115"/>
      <c r="G563" s="116"/>
      <c r="H563" s="116"/>
      <c r="I563" s="132"/>
      <c r="J563" s="115"/>
    </row>
    <row r="564">
      <c r="A564" s="120"/>
      <c r="B564" s="120"/>
      <c r="C564" s="120"/>
      <c r="D564" s="119"/>
      <c r="E564" s="115"/>
      <c r="F564" s="115"/>
      <c r="G564" s="116"/>
      <c r="H564" s="116"/>
      <c r="I564" s="132"/>
      <c r="J564" s="115"/>
    </row>
    <row r="565">
      <c r="A565" s="120"/>
      <c r="B565" s="120"/>
      <c r="C565" s="120"/>
      <c r="D565" s="119"/>
      <c r="E565" s="115"/>
      <c r="F565" s="115"/>
      <c r="G565" s="116"/>
      <c r="H565" s="116"/>
      <c r="I565" s="132"/>
      <c r="J565" s="115"/>
    </row>
    <row r="566">
      <c r="A566" s="120"/>
      <c r="B566" s="120"/>
      <c r="C566" s="120"/>
      <c r="D566" s="119"/>
      <c r="E566" s="115"/>
      <c r="F566" s="115"/>
      <c r="G566" s="116"/>
      <c r="H566" s="116"/>
      <c r="I566" s="132"/>
      <c r="J566" s="115"/>
    </row>
    <row r="567">
      <c r="A567" s="120"/>
      <c r="B567" s="120"/>
      <c r="C567" s="120"/>
      <c r="D567" s="119"/>
      <c r="E567" s="115"/>
      <c r="F567" s="115"/>
      <c r="G567" s="116"/>
      <c r="H567" s="116"/>
      <c r="I567" s="132"/>
      <c r="J567" s="115"/>
    </row>
    <row r="568">
      <c r="A568" s="120"/>
      <c r="B568" s="120"/>
      <c r="C568" s="120"/>
      <c r="D568" s="119"/>
      <c r="E568" s="115"/>
      <c r="F568" s="115"/>
      <c r="G568" s="116"/>
      <c r="H568" s="116"/>
      <c r="I568" s="132"/>
      <c r="J568" s="115"/>
    </row>
    <row r="569">
      <c r="A569" s="120"/>
      <c r="B569" s="120"/>
      <c r="C569" s="120"/>
      <c r="D569" s="119"/>
      <c r="E569" s="115"/>
      <c r="F569" s="115"/>
      <c r="G569" s="116"/>
      <c r="H569" s="116"/>
      <c r="I569" s="132"/>
      <c r="J569" s="115"/>
    </row>
    <row r="570">
      <c r="A570" s="120"/>
      <c r="B570" s="120"/>
      <c r="C570" s="120"/>
      <c r="D570" s="119"/>
      <c r="E570" s="115"/>
      <c r="F570" s="115"/>
      <c r="G570" s="116"/>
      <c r="H570" s="116"/>
      <c r="I570" s="132"/>
      <c r="J570" s="115"/>
    </row>
    <row r="571">
      <c r="A571" s="120"/>
      <c r="B571" s="120"/>
      <c r="C571" s="120"/>
      <c r="D571" s="119"/>
      <c r="E571" s="115"/>
      <c r="F571" s="115"/>
      <c r="G571" s="116"/>
      <c r="H571" s="116"/>
      <c r="I571" s="132"/>
      <c r="J571" s="115"/>
    </row>
    <row r="572">
      <c r="A572" s="120"/>
      <c r="B572" s="120"/>
      <c r="C572" s="120"/>
      <c r="D572" s="119"/>
      <c r="E572" s="115"/>
      <c r="F572" s="115"/>
      <c r="G572" s="116"/>
      <c r="H572" s="116"/>
      <c r="I572" s="132"/>
      <c r="J572" s="115"/>
    </row>
    <row r="573">
      <c r="A573" s="120"/>
      <c r="B573" s="120"/>
      <c r="C573" s="120"/>
      <c r="D573" s="119"/>
      <c r="E573" s="115"/>
      <c r="F573" s="115"/>
      <c r="G573" s="116"/>
      <c r="H573" s="116"/>
      <c r="I573" s="132"/>
      <c r="J573" s="115"/>
    </row>
    <row r="574">
      <c r="A574" s="120"/>
      <c r="B574" s="120"/>
      <c r="C574" s="120"/>
      <c r="D574" s="119"/>
      <c r="E574" s="115"/>
      <c r="F574" s="115"/>
      <c r="G574" s="116"/>
      <c r="H574" s="116"/>
      <c r="I574" s="132"/>
      <c r="J574" s="115"/>
    </row>
    <row r="575">
      <c r="A575" s="120"/>
      <c r="B575" s="120"/>
      <c r="C575" s="120"/>
      <c r="D575" s="119"/>
      <c r="E575" s="115"/>
      <c r="F575" s="115"/>
      <c r="G575" s="116"/>
      <c r="H575" s="116"/>
      <c r="I575" s="132"/>
      <c r="J575" s="115"/>
    </row>
    <row r="576">
      <c r="A576" s="120"/>
      <c r="B576" s="120"/>
      <c r="C576" s="120"/>
      <c r="D576" s="119"/>
      <c r="E576" s="115"/>
      <c r="F576" s="115"/>
      <c r="G576" s="116"/>
      <c r="H576" s="116"/>
      <c r="I576" s="132"/>
      <c r="J576" s="115"/>
    </row>
    <row r="577">
      <c r="A577" s="120"/>
      <c r="B577" s="120"/>
      <c r="C577" s="120"/>
      <c r="D577" s="119"/>
      <c r="E577" s="115"/>
      <c r="F577" s="115"/>
      <c r="G577" s="116"/>
      <c r="H577" s="116"/>
      <c r="I577" s="132"/>
      <c r="J577" s="115"/>
    </row>
    <row r="578">
      <c r="A578" s="120"/>
      <c r="B578" s="120"/>
      <c r="C578" s="120"/>
      <c r="D578" s="119"/>
      <c r="E578" s="115"/>
      <c r="F578" s="115"/>
      <c r="G578" s="116"/>
      <c r="H578" s="116"/>
      <c r="I578" s="132"/>
      <c r="J578" s="115"/>
    </row>
    <row r="579">
      <c r="A579" s="120"/>
      <c r="B579" s="120"/>
      <c r="C579" s="120"/>
      <c r="D579" s="119"/>
      <c r="E579" s="115"/>
      <c r="F579" s="115"/>
      <c r="G579" s="116"/>
      <c r="H579" s="116"/>
      <c r="I579" s="132"/>
      <c r="J579" s="115"/>
    </row>
    <row r="580">
      <c r="A580" s="120"/>
      <c r="B580" s="120"/>
      <c r="C580" s="120"/>
      <c r="D580" s="119"/>
      <c r="E580" s="115"/>
      <c r="F580" s="115"/>
      <c r="G580" s="116"/>
      <c r="H580" s="116"/>
      <c r="I580" s="132"/>
      <c r="J580" s="115"/>
    </row>
    <row r="581">
      <c r="A581" s="120"/>
      <c r="B581" s="120"/>
      <c r="C581" s="120"/>
      <c r="D581" s="119"/>
      <c r="E581" s="115"/>
      <c r="F581" s="115"/>
      <c r="G581" s="116"/>
      <c r="H581" s="116"/>
      <c r="I581" s="132"/>
      <c r="J581" s="115"/>
    </row>
    <row r="582">
      <c r="A582" s="120"/>
      <c r="B582" s="120"/>
      <c r="C582" s="120"/>
      <c r="D582" s="119"/>
      <c r="E582" s="115"/>
      <c r="F582" s="115"/>
      <c r="G582" s="116"/>
      <c r="H582" s="116"/>
      <c r="I582" s="132"/>
      <c r="J582" s="115"/>
    </row>
    <row r="583">
      <c r="A583" s="120"/>
      <c r="B583" s="120"/>
      <c r="C583" s="120"/>
      <c r="D583" s="119"/>
      <c r="E583" s="115"/>
      <c r="F583" s="115"/>
      <c r="G583" s="116"/>
      <c r="H583" s="116"/>
      <c r="I583" s="132"/>
      <c r="J583" s="115"/>
    </row>
    <row r="584">
      <c r="A584" s="120"/>
      <c r="B584" s="120"/>
      <c r="C584" s="120"/>
      <c r="D584" s="119"/>
      <c r="E584" s="115"/>
      <c r="F584" s="115"/>
      <c r="G584" s="116"/>
      <c r="H584" s="116"/>
      <c r="I584" s="132"/>
      <c r="J584" s="115"/>
    </row>
    <row r="585">
      <c r="A585" s="120"/>
      <c r="B585" s="120"/>
      <c r="C585" s="120"/>
      <c r="D585" s="119"/>
      <c r="E585" s="115"/>
      <c r="F585" s="115"/>
      <c r="G585" s="116"/>
      <c r="H585" s="116"/>
      <c r="I585" s="132"/>
      <c r="J585" s="115"/>
    </row>
    <row r="586">
      <c r="A586" s="120"/>
      <c r="B586" s="120"/>
      <c r="C586" s="120"/>
      <c r="D586" s="119"/>
      <c r="E586" s="115"/>
      <c r="F586" s="115"/>
      <c r="G586" s="116"/>
      <c r="H586" s="116"/>
      <c r="I586" s="132"/>
      <c r="J586" s="115"/>
    </row>
    <row r="587">
      <c r="A587" s="120"/>
      <c r="B587" s="120"/>
      <c r="C587" s="120"/>
      <c r="D587" s="119"/>
      <c r="E587" s="115"/>
      <c r="F587" s="115"/>
      <c r="G587" s="116"/>
      <c r="H587" s="116"/>
      <c r="I587" s="132"/>
      <c r="J587" s="115"/>
    </row>
    <row r="588">
      <c r="A588" s="120"/>
      <c r="B588" s="120"/>
      <c r="C588" s="120"/>
      <c r="D588" s="119"/>
      <c r="E588" s="115"/>
      <c r="F588" s="115"/>
      <c r="G588" s="116"/>
      <c r="H588" s="116"/>
      <c r="I588" s="132"/>
      <c r="J588" s="115"/>
    </row>
    <row r="589">
      <c r="A589" s="120"/>
      <c r="B589" s="120"/>
      <c r="C589" s="120"/>
      <c r="D589" s="119"/>
      <c r="E589" s="115"/>
      <c r="F589" s="115"/>
      <c r="G589" s="116"/>
      <c r="H589" s="116"/>
      <c r="I589" s="132"/>
      <c r="J589" s="115"/>
    </row>
    <row r="590">
      <c r="A590" s="120"/>
      <c r="B590" s="120"/>
      <c r="C590" s="120"/>
      <c r="D590" s="119"/>
      <c r="E590" s="115"/>
      <c r="F590" s="115"/>
      <c r="G590" s="116"/>
      <c r="H590" s="116"/>
      <c r="I590" s="132"/>
      <c r="J590" s="115"/>
    </row>
    <row r="591">
      <c r="A591" s="120"/>
      <c r="B591" s="120"/>
      <c r="C591" s="120"/>
      <c r="D591" s="119"/>
      <c r="E591" s="115"/>
      <c r="F591" s="115"/>
      <c r="G591" s="116"/>
      <c r="H591" s="116"/>
      <c r="I591" s="132"/>
      <c r="J591" s="115"/>
    </row>
    <row r="592">
      <c r="A592" s="120"/>
      <c r="B592" s="120"/>
      <c r="C592" s="120"/>
      <c r="D592" s="119"/>
      <c r="E592" s="115"/>
      <c r="F592" s="115"/>
      <c r="G592" s="116"/>
      <c r="H592" s="116"/>
      <c r="I592" s="132"/>
      <c r="J592" s="115"/>
    </row>
    <row r="593">
      <c r="A593" s="120"/>
      <c r="B593" s="120"/>
      <c r="C593" s="120"/>
      <c r="D593" s="119"/>
      <c r="E593" s="115"/>
      <c r="F593" s="115"/>
      <c r="G593" s="116"/>
      <c r="H593" s="116"/>
      <c r="I593" s="132"/>
      <c r="J593" s="115"/>
    </row>
    <row r="594">
      <c r="A594" s="120"/>
      <c r="B594" s="120"/>
      <c r="C594" s="120"/>
      <c r="D594" s="119"/>
      <c r="E594" s="115"/>
      <c r="F594" s="115"/>
      <c r="G594" s="116"/>
      <c r="H594" s="116"/>
      <c r="I594" s="132"/>
      <c r="J594" s="115"/>
    </row>
    <row r="595">
      <c r="A595" s="120"/>
      <c r="B595" s="120"/>
      <c r="C595" s="120"/>
      <c r="D595" s="119"/>
      <c r="E595" s="115"/>
      <c r="F595" s="115"/>
      <c r="G595" s="116"/>
      <c r="H595" s="116"/>
      <c r="I595" s="132"/>
      <c r="J595" s="115"/>
    </row>
    <row r="596">
      <c r="A596" s="120"/>
      <c r="B596" s="120"/>
      <c r="C596" s="120"/>
      <c r="D596" s="119"/>
      <c r="E596" s="115"/>
      <c r="F596" s="115"/>
      <c r="G596" s="116"/>
      <c r="H596" s="116"/>
      <c r="I596" s="132"/>
      <c r="J596" s="115"/>
    </row>
    <row r="597">
      <c r="A597" s="120"/>
      <c r="B597" s="120"/>
      <c r="C597" s="120"/>
      <c r="D597" s="119"/>
      <c r="E597" s="115"/>
      <c r="F597" s="115"/>
      <c r="G597" s="116"/>
      <c r="H597" s="116"/>
      <c r="I597" s="132"/>
      <c r="J597" s="115"/>
    </row>
    <row r="598">
      <c r="A598" s="120"/>
      <c r="B598" s="120"/>
      <c r="C598" s="120"/>
      <c r="D598" s="119"/>
      <c r="E598" s="115"/>
      <c r="F598" s="115"/>
      <c r="G598" s="116"/>
      <c r="H598" s="116"/>
      <c r="I598" s="132"/>
      <c r="J598" s="115"/>
    </row>
    <row r="599">
      <c r="A599" s="120"/>
      <c r="B599" s="120"/>
      <c r="C599" s="120"/>
      <c r="D599" s="119"/>
      <c r="E599" s="115"/>
      <c r="F599" s="115"/>
      <c r="G599" s="116"/>
      <c r="H599" s="116"/>
      <c r="I599" s="132"/>
      <c r="J599" s="115"/>
    </row>
    <row r="600">
      <c r="A600" s="120"/>
      <c r="B600" s="120"/>
      <c r="C600" s="120"/>
      <c r="D600" s="119"/>
      <c r="E600" s="115"/>
      <c r="F600" s="115"/>
      <c r="G600" s="116"/>
      <c r="H600" s="116"/>
      <c r="I600" s="132"/>
      <c r="J600" s="115"/>
    </row>
    <row r="601">
      <c r="A601" s="120"/>
      <c r="B601" s="120"/>
      <c r="C601" s="120"/>
      <c r="D601" s="119"/>
      <c r="E601" s="115"/>
      <c r="F601" s="115"/>
      <c r="G601" s="116"/>
      <c r="H601" s="116"/>
      <c r="I601" s="132"/>
      <c r="J601" s="115"/>
    </row>
    <row r="602">
      <c r="A602" s="120"/>
      <c r="B602" s="120"/>
      <c r="C602" s="120"/>
      <c r="D602" s="119"/>
      <c r="E602" s="115"/>
      <c r="F602" s="115"/>
      <c r="G602" s="116"/>
      <c r="H602" s="116"/>
      <c r="I602" s="132"/>
      <c r="J602" s="115"/>
    </row>
    <row r="603">
      <c r="A603" s="120"/>
      <c r="B603" s="120"/>
      <c r="C603" s="120"/>
      <c r="D603" s="119"/>
      <c r="E603" s="115"/>
      <c r="F603" s="115"/>
      <c r="G603" s="116"/>
      <c r="H603" s="116"/>
      <c r="I603" s="132"/>
      <c r="J603" s="115"/>
    </row>
    <row r="604">
      <c r="A604" s="120"/>
      <c r="B604" s="120"/>
      <c r="C604" s="120"/>
      <c r="D604" s="119"/>
      <c r="E604" s="115"/>
      <c r="F604" s="115"/>
      <c r="G604" s="116"/>
      <c r="H604" s="116"/>
      <c r="I604" s="132"/>
      <c r="J604" s="115"/>
    </row>
    <row r="605">
      <c r="A605" s="120"/>
      <c r="B605" s="120"/>
      <c r="C605" s="120"/>
      <c r="D605" s="119"/>
      <c r="E605" s="115"/>
      <c r="F605" s="115"/>
      <c r="G605" s="116"/>
      <c r="H605" s="116"/>
      <c r="I605" s="132"/>
      <c r="J605" s="115"/>
    </row>
    <row r="606">
      <c r="A606" s="120"/>
      <c r="B606" s="120"/>
      <c r="C606" s="120"/>
      <c r="D606" s="119"/>
      <c r="E606" s="115"/>
      <c r="F606" s="115"/>
      <c r="G606" s="116"/>
      <c r="H606" s="116"/>
      <c r="I606" s="132"/>
      <c r="J606" s="115"/>
    </row>
    <row r="607">
      <c r="A607" s="120"/>
      <c r="B607" s="120"/>
      <c r="C607" s="120"/>
      <c r="D607" s="119"/>
      <c r="E607" s="115"/>
      <c r="F607" s="115"/>
      <c r="G607" s="116"/>
      <c r="H607" s="116"/>
      <c r="I607" s="132"/>
      <c r="J607" s="115"/>
    </row>
    <row r="608">
      <c r="A608" s="120"/>
      <c r="B608" s="120"/>
      <c r="C608" s="120"/>
      <c r="D608" s="119"/>
      <c r="E608" s="115"/>
      <c r="F608" s="115"/>
      <c r="G608" s="116"/>
      <c r="H608" s="116"/>
      <c r="I608" s="132"/>
      <c r="J608" s="115"/>
    </row>
    <row r="609">
      <c r="A609" s="120"/>
      <c r="B609" s="120"/>
      <c r="C609" s="120"/>
      <c r="D609" s="119"/>
      <c r="E609" s="115"/>
      <c r="F609" s="115"/>
      <c r="G609" s="116"/>
      <c r="H609" s="116"/>
      <c r="I609" s="132"/>
      <c r="J609" s="115"/>
    </row>
    <row r="610">
      <c r="A610" s="120"/>
      <c r="B610" s="120"/>
      <c r="C610" s="120"/>
      <c r="D610" s="119"/>
      <c r="E610" s="115"/>
      <c r="F610" s="115"/>
      <c r="G610" s="116"/>
      <c r="H610" s="116"/>
      <c r="I610" s="132"/>
      <c r="J610" s="115"/>
    </row>
    <row r="611">
      <c r="A611" s="120"/>
      <c r="B611" s="120"/>
      <c r="C611" s="120"/>
      <c r="D611" s="119"/>
      <c r="E611" s="115"/>
      <c r="F611" s="115"/>
      <c r="G611" s="116"/>
      <c r="H611" s="116"/>
      <c r="I611" s="132"/>
      <c r="J611" s="115"/>
    </row>
    <row r="612">
      <c r="A612" s="120"/>
      <c r="B612" s="120"/>
      <c r="C612" s="120"/>
      <c r="D612" s="119"/>
      <c r="E612" s="115"/>
      <c r="F612" s="115"/>
      <c r="G612" s="116"/>
      <c r="H612" s="116"/>
      <c r="I612" s="132"/>
      <c r="J612" s="115"/>
    </row>
    <row r="613">
      <c r="A613" s="120"/>
      <c r="B613" s="120"/>
      <c r="C613" s="120"/>
      <c r="D613" s="119"/>
      <c r="E613" s="115"/>
      <c r="F613" s="115"/>
      <c r="G613" s="116"/>
      <c r="H613" s="116"/>
      <c r="I613" s="132"/>
      <c r="J613" s="115"/>
    </row>
    <row r="614">
      <c r="A614" s="120"/>
      <c r="B614" s="120"/>
      <c r="C614" s="120"/>
      <c r="D614" s="119"/>
      <c r="E614" s="115"/>
      <c r="F614" s="115"/>
      <c r="G614" s="116"/>
      <c r="H614" s="116"/>
      <c r="I614" s="132"/>
      <c r="J614" s="115"/>
    </row>
    <row r="615">
      <c r="A615" s="120"/>
      <c r="B615" s="120"/>
      <c r="C615" s="120"/>
      <c r="D615" s="119"/>
      <c r="E615" s="115"/>
      <c r="F615" s="115"/>
      <c r="G615" s="116"/>
      <c r="H615" s="116"/>
      <c r="I615" s="132"/>
      <c r="J615" s="115"/>
    </row>
    <row r="616">
      <c r="A616" s="120"/>
      <c r="B616" s="120"/>
      <c r="C616" s="120"/>
      <c r="D616" s="119"/>
      <c r="E616" s="115"/>
      <c r="F616" s="115"/>
      <c r="G616" s="116"/>
      <c r="H616" s="116"/>
      <c r="I616" s="132"/>
      <c r="J616" s="115"/>
    </row>
    <row r="617">
      <c r="A617" s="120"/>
      <c r="B617" s="120"/>
      <c r="C617" s="120"/>
      <c r="D617" s="119"/>
      <c r="E617" s="115"/>
      <c r="F617" s="115"/>
      <c r="G617" s="116"/>
      <c r="H617" s="116"/>
      <c r="I617" s="132"/>
      <c r="J617" s="115"/>
    </row>
    <row r="618">
      <c r="A618" s="120"/>
      <c r="B618" s="120"/>
      <c r="C618" s="120"/>
      <c r="D618" s="119"/>
      <c r="E618" s="115"/>
      <c r="F618" s="115"/>
      <c r="G618" s="116"/>
      <c r="H618" s="116"/>
      <c r="I618" s="132"/>
      <c r="J618" s="115"/>
    </row>
    <row r="619">
      <c r="A619" s="120"/>
      <c r="B619" s="120"/>
      <c r="C619" s="120"/>
      <c r="D619" s="119"/>
      <c r="E619" s="115"/>
      <c r="F619" s="115"/>
      <c r="G619" s="116"/>
      <c r="H619" s="116"/>
      <c r="I619" s="132"/>
      <c r="J619" s="115"/>
    </row>
    <row r="620">
      <c r="A620" s="120"/>
      <c r="B620" s="120"/>
      <c r="C620" s="120"/>
      <c r="D620" s="119"/>
      <c r="E620" s="115"/>
      <c r="F620" s="115"/>
      <c r="G620" s="116"/>
      <c r="H620" s="116"/>
      <c r="I620" s="132"/>
      <c r="J620" s="115"/>
    </row>
    <row r="621">
      <c r="A621" s="120"/>
      <c r="B621" s="120"/>
      <c r="C621" s="120"/>
      <c r="D621" s="119"/>
      <c r="E621" s="115"/>
      <c r="F621" s="115"/>
      <c r="G621" s="116"/>
      <c r="H621" s="116"/>
      <c r="I621" s="132"/>
      <c r="J621" s="115"/>
    </row>
    <row r="622">
      <c r="A622" s="120"/>
      <c r="B622" s="120"/>
      <c r="C622" s="120"/>
      <c r="D622" s="119"/>
      <c r="E622" s="115"/>
      <c r="F622" s="115"/>
      <c r="G622" s="116"/>
      <c r="H622" s="116"/>
      <c r="I622" s="132"/>
      <c r="J622" s="115"/>
    </row>
    <row r="623">
      <c r="A623" s="120"/>
      <c r="B623" s="120"/>
      <c r="C623" s="120"/>
      <c r="D623" s="119"/>
      <c r="E623" s="115"/>
      <c r="F623" s="115"/>
      <c r="G623" s="116"/>
      <c r="H623" s="116"/>
      <c r="I623" s="132"/>
      <c r="J623" s="115"/>
    </row>
    <row r="624">
      <c r="A624" s="120"/>
      <c r="B624" s="120"/>
      <c r="C624" s="120"/>
      <c r="D624" s="119"/>
      <c r="E624" s="115"/>
      <c r="F624" s="115"/>
      <c r="G624" s="116"/>
      <c r="H624" s="116"/>
      <c r="I624" s="132"/>
      <c r="J624" s="115"/>
    </row>
    <row r="625">
      <c r="A625" s="120"/>
      <c r="B625" s="120"/>
      <c r="C625" s="120"/>
      <c r="D625" s="119"/>
      <c r="E625" s="115"/>
      <c r="F625" s="115"/>
      <c r="G625" s="116"/>
      <c r="H625" s="116"/>
      <c r="I625" s="132"/>
      <c r="J625" s="115"/>
    </row>
    <row r="626">
      <c r="A626" s="120"/>
      <c r="B626" s="120"/>
      <c r="C626" s="120"/>
      <c r="D626" s="119"/>
      <c r="E626" s="115"/>
      <c r="F626" s="115"/>
      <c r="G626" s="116"/>
      <c r="H626" s="116"/>
      <c r="I626" s="132"/>
      <c r="J626" s="115"/>
    </row>
    <row r="627">
      <c r="A627" s="120"/>
      <c r="B627" s="120"/>
      <c r="C627" s="120"/>
      <c r="D627" s="119"/>
      <c r="E627" s="115"/>
      <c r="F627" s="115"/>
      <c r="G627" s="116"/>
      <c r="H627" s="116"/>
      <c r="I627" s="132"/>
      <c r="J627" s="115"/>
    </row>
    <row r="628">
      <c r="A628" s="120"/>
      <c r="B628" s="120"/>
      <c r="C628" s="120"/>
      <c r="D628" s="119"/>
      <c r="E628" s="115"/>
      <c r="F628" s="115"/>
      <c r="G628" s="116"/>
      <c r="H628" s="116"/>
      <c r="I628" s="132"/>
      <c r="J628" s="115"/>
    </row>
    <row r="629">
      <c r="A629" s="120"/>
      <c r="B629" s="120"/>
      <c r="C629" s="120"/>
      <c r="D629" s="119"/>
      <c r="E629" s="115"/>
      <c r="F629" s="115"/>
      <c r="G629" s="116"/>
      <c r="H629" s="116"/>
      <c r="I629" s="132"/>
      <c r="J629" s="115"/>
    </row>
    <row r="630">
      <c r="A630" s="120"/>
      <c r="B630" s="120"/>
      <c r="C630" s="120"/>
      <c r="D630" s="119"/>
      <c r="E630" s="115"/>
      <c r="F630" s="115"/>
      <c r="G630" s="116"/>
      <c r="H630" s="116"/>
      <c r="I630" s="132"/>
      <c r="J630" s="115"/>
    </row>
    <row r="631">
      <c r="A631" s="120"/>
      <c r="B631" s="120"/>
      <c r="C631" s="120"/>
      <c r="D631" s="119"/>
      <c r="E631" s="115"/>
      <c r="F631" s="115"/>
      <c r="G631" s="116"/>
      <c r="H631" s="116"/>
      <c r="I631" s="132"/>
      <c r="J631" s="115"/>
    </row>
    <row r="632">
      <c r="A632" s="120"/>
      <c r="B632" s="120"/>
      <c r="C632" s="120"/>
      <c r="D632" s="119"/>
      <c r="E632" s="115"/>
      <c r="F632" s="115"/>
      <c r="G632" s="116"/>
      <c r="H632" s="116"/>
      <c r="I632" s="132"/>
      <c r="J632" s="115"/>
    </row>
    <row r="633">
      <c r="A633" s="120"/>
      <c r="B633" s="120"/>
      <c r="C633" s="120"/>
      <c r="D633" s="119"/>
      <c r="E633" s="115"/>
      <c r="F633" s="115"/>
      <c r="G633" s="116"/>
      <c r="H633" s="116"/>
      <c r="I633" s="132"/>
      <c r="J633" s="115"/>
    </row>
    <row r="634">
      <c r="A634" s="120"/>
      <c r="B634" s="120"/>
      <c r="C634" s="120"/>
      <c r="D634" s="119"/>
      <c r="E634" s="115"/>
      <c r="F634" s="115"/>
      <c r="G634" s="116"/>
      <c r="H634" s="116"/>
      <c r="I634" s="132"/>
      <c r="J634" s="115"/>
    </row>
    <row r="635">
      <c r="A635" s="120"/>
      <c r="B635" s="120"/>
      <c r="C635" s="120"/>
      <c r="D635" s="119"/>
      <c r="E635" s="115"/>
      <c r="F635" s="115"/>
      <c r="G635" s="116"/>
      <c r="H635" s="116"/>
      <c r="I635" s="132"/>
      <c r="J635" s="115"/>
    </row>
    <row r="636">
      <c r="A636" s="120"/>
      <c r="B636" s="120"/>
      <c r="C636" s="120"/>
      <c r="D636" s="119"/>
      <c r="E636" s="115"/>
      <c r="F636" s="115"/>
      <c r="G636" s="116"/>
      <c r="H636" s="116"/>
      <c r="I636" s="132"/>
      <c r="J636" s="115"/>
    </row>
    <row r="637">
      <c r="A637" s="120"/>
      <c r="B637" s="120"/>
      <c r="C637" s="120"/>
      <c r="D637" s="119"/>
      <c r="E637" s="115"/>
      <c r="F637" s="115"/>
      <c r="G637" s="116"/>
      <c r="H637" s="116"/>
      <c r="I637" s="132"/>
      <c r="J637" s="115"/>
    </row>
    <row r="638">
      <c r="A638" s="120"/>
      <c r="B638" s="120"/>
      <c r="C638" s="120"/>
      <c r="D638" s="119"/>
      <c r="E638" s="115"/>
      <c r="F638" s="115"/>
      <c r="G638" s="116"/>
      <c r="H638" s="116"/>
      <c r="I638" s="132"/>
      <c r="J638" s="115"/>
    </row>
    <row r="639">
      <c r="A639" s="120"/>
      <c r="B639" s="120"/>
      <c r="C639" s="120"/>
      <c r="D639" s="119"/>
      <c r="E639" s="115"/>
      <c r="F639" s="115"/>
      <c r="G639" s="116"/>
      <c r="H639" s="116"/>
      <c r="I639" s="132"/>
      <c r="J639" s="115"/>
    </row>
    <row r="640">
      <c r="A640" s="120"/>
      <c r="B640" s="120"/>
      <c r="C640" s="120"/>
      <c r="D640" s="119"/>
      <c r="E640" s="115"/>
      <c r="F640" s="115"/>
      <c r="G640" s="116"/>
      <c r="H640" s="116"/>
      <c r="I640" s="132"/>
      <c r="J640" s="115"/>
    </row>
    <row r="641">
      <c r="A641" s="120"/>
      <c r="B641" s="120"/>
      <c r="C641" s="120"/>
      <c r="D641" s="119"/>
      <c r="E641" s="115"/>
      <c r="F641" s="115"/>
      <c r="G641" s="116"/>
      <c r="H641" s="116"/>
      <c r="I641" s="132"/>
      <c r="J641" s="115"/>
    </row>
    <row r="642">
      <c r="A642" s="120"/>
      <c r="B642" s="120"/>
      <c r="C642" s="120"/>
      <c r="D642" s="119"/>
      <c r="E642" s="115"/>
      <c r="F642" s="115"/>
      <c r="G642" s="116"/>
      <c r="H642" s="116"/>
      <c r="I642" s="132"/>
      <c r="J642" s="115"/>
    </row>
    <row r="643">
      <c r="A643" s="120"/>
      <c r="B643" s="120"/>
      <c r="C643" s="120"/>
      <c r="D643" s="119"/>
      <c r="E643" s="115"/>
      <c r="F643" s="115"/>
      <c r="G643" s="116"/>
      <c r="H643" s="116"/>
      <c r="I643" s="132"/>
      <c r="J643" s="115"/>
    </row>
    <row r="644">
      <c r="A644" s="120"/>
      <c r="B644" s="120"/>
      <c r="C644" s="120"/>
      <c r="D644" s="119"/>
      <c r="E644" s="115"/>
      <c r="F644" s="115"/>
      <c r="G644" s="116"/>
      <c r="H644" s="116"/>
      <c r="I644" s="132"/>
      <c r="J644" s="115"/>
    </row>
    <row r="645">
      <c r="A645" s="120"/>
      <c r="B645" s="120"/>
      <c r="C645" s="120"/>
      <c r="D645" s="119"/>
      <c r="E645" s="115"/>
      <c r="F645" s="115"/>
      <c r="G645" s="116"/>
      <c r="H645" s="116"/>
      <c r="I645" s="132"/>
      <c r="J645" s="115"/>
    </row>
    <row r="646">
      <c r="A646" s="120"/>
      <c r="B646" s="120"/>
      <c r="C646" s="120"/>
      <c r="D646" s="119"/>
      <c r="E646" s="115"/>
      <c r="F646" s="115"/>
      <c r="G646" s="116"/>
      <c r="H646" s="116"/>
      <c r="I646" s="132"/>
      <c r="J646" s="115"/>
    </row>
    <row r="647">
      <c r="A647" s="120"/>
      <c r="B647" s="120"/>
      <c r="C647" s="120"/>
      <c r="D647" s="119"/>
      <c r="E647" s="115"/>
      <c r="F647" s="115"/>
      <c r="G647" s="116"/>
      <c r="H647" s="116"/>
      <c r="I647" s="132"/>
      <c r="J647" s="115"/>
    </row>
    <row r="648">
      <c r="A648" s="120"/>
      <c r="B648" s="120"/>
      <c r="C648" s="120"/>
      <c r="D648" s="119"/>
      <c r="E648" s="115"/>
      <c r="F648" s="115"/>
      <c r="G648" s="116"/>
      <c r="H648" s="116"/>
      <c r="I648" s="132"/>
      <c r="J648" s="115"/>
    </row>
    <row r="649">
      <c r="A649" s="120"/>
      <c r="B649" s="120"/>
      <c r="C649" s="120"/>
      <c r="D649" s="119"/>
      <c r="E649" s="115"/>
      <c r="F649" s="115"/>
      <c r="G649" s="116"/>
      <c r="H649" s="116"/>
      <c r="I649" s="132"/>
      <c r="J649" s="115"/>
    </row>
    <row r="650">
      <c r="A650" s="120"/>
      <c r="B650" s="120"/>
      <c r="C650" s="120"/>
      <c r="D650" s="119"/>
      <c r="E650" s="115"/>
      <c r="F650" s="115"/>
      <c r="G650" s="116"/>
      <c r="H650" s="116"/>
      <c r="I650" s="132"/>
      <c r="J650" s="115"/>
    </row>
    <row r="651">
      <c r="A651" s="120"/>
      <c r="B651" s="120"/>
      <c r="C651" s="120"/>
      <c r="D651" s="119"/>
      <c r="E651" s="115"/>
      <c r="F651" s="115"/>
      <c r="G651" s="116"/>
      <c r="H651" s="116"/>
      <c r="I651" s="132"/>
      <c r="J651" s="115"/>
    </row>
    <row r="652">
      <c r="A652" s="120"/>
      <c r="B652" s="120"/>
      <c r="C652" s="120"/>
      <c r="D652" s="119"/>
      <c r="E652" s="115"/>
      <c r="F652" s="115"/>
      <c r="G652" s="116"/>
      <c r="H652" s="116"/>
      <c r="I652" s="132"/>
      <c r="J652" s="115"/>
    </row>
    <row r="653">
      <c r="A653" s="120"/>
      <c r="B653" s="120"/>
      <c r="C653" s="120"/>
      <c r="D653" s="119"/>
      <c r="E653" s="115"/>
      <c r="F653" s="115"/>
      <c r="G653" s="116"/>
      <c r="H653" s="116"/>
      <c r="I653" s="132"/>
      <c r="J653" s="115"/>
    </row>
    <row r="654">
      <c r="A654" s="120"/>
      <c r="B654" s="120"/>
      <c r="C654" s="120"/>
      <c r="D654" s="119"/>
      <c r="E654" s="115"/>
      <c r="F654" s="115"/>
      <c r="G654" s="116"/>
      <c r="H654" s="116"/>
      <c r="I654" s="132"/>
      <c r="J654" s="115"/>
    </row>
    <row r="655">
      <c r="A655" s="120"/>
      <c r="B655" s="120"/>
      <c r="C655" s="120"/>
      <c r="D655" s="119"/>
      <c r="E655" s="115"/>
      <c r="F655" s="115"/>
      <c r="G655" s="116"/>
      <c r="H655" s="116"/>
      <c r="I655" s="132"/>
      <c r="J655" s="115"/>
    </row>
    <row r="656">
      <c r="A656" s="120"/>
      <c r="B656" s="120"/>
      <c r="C656" s="120"/>
      <c r="D656" s="119"/>
      <c r="E656" s="115"/>
      <c r="F656" s="115"/>
      <c r="G656" s="116"/>
      <c r="H656" s="116"/>
      <c r="I656" s="132"/>
      <c r="J656" s="115"/>
    </row>
    <row r="657">
      <c r="A657" s="120"/>
      <c r="B657" s="120"/>
      <c r="C657" s="120"/>
      <c r="D657" s="119"/>
      <c r="E657" s="115"/>
      <c r="F657" s="115"/>
      <c r="G657" s="116"/>
      <c r="H657" s="116"/>
      <c r="I657" s="132"/>
      <c r="J657" s="115"/>
    </row>
    <row r="658">
      <c r="A658" s="120"/>
      <c r="B658" s="120"/>
      <c r="C658" s="120"/>
      <c r="D658" s="119"/>
      <c r="E658" s="115"/>
      <c r="F658" s="115"/>
      <c r="G658" s="116"/>
      <c r="H658" s="116"/>
      <c r="I658" s="132"/>
      <c r="J658" s="115"/>
    </row>
    <row r="659">
      <c r="A659" s="120"/>
      <c r="B659" s="120"/>
      <c r="C659" s="120"/>
      <c r="D659" s="119"/>
      <c r="E659" s="115"/>
      <c r="F659" s="115"/>
      <c r="G659" s="116"/>
      <c r="H659" s="116"/>
      <c r="I659" s="132"/>
      <c r="J659" s="115"/>
    </row>
    <row r="660">
      <c r="A660" s="120"/>
      <c r="B660" s="120"/>
      <c r="C660" s="120"/>
      <c r="D660" s="119"/>
      <c r="E660" s="115"/>
      <c r="F660" s="115"/>
      <c r="G660" s="116"/>
      <c r="H660" s="116"/>
      <c r="I660" s="132"/>
      <c r="J660" s="115"/>
    </row>
    <row r="661">
      <c r="A661" s="120"/>
      <c r="B661" s="120"/>
      <c r="C661" s="120"/>
      <c r="D661" s="119"/>
      <c r="E661" s="115"/>
      <c r="F661" s="115"/>
      <c r="G661" s="116"/>
      <c r="H661" s="116"/>
      <c r="I661" s="132"/>
      <c r="J661" s="115"/>
    </row>
    <row r="662">
      <c r="A662" s="120"/>
      <c r="B662" s="120"/>
      <c r="C662" s="120"/>
      <c r="D662" s="119"/>
      <c r="E662" s="115"/>
      <c r="F662" s="115"/>
      <c r="G662" s="116"/>
      <c r="H662" s="116"/>
      <c r="I662" s="132"/>
      <c r="J662" s="115"/>
    </row>
    <row r="663">
      <c r="A663" s="120"/>
      <c r="B663" s="120"/>
      <c r="C663" s="120"/>
      <c r="D663" s="119"/>
      <c r="E663" s="115"/>
      <c r="F663" s="115"/>
      <c r="G663" s="116"/>
      <c r="H663" s="116"/>
      <c r="I663" s="132"/>
      <c r="J663" s="115"/>
    </row>
    <row r="664">
      <c r="A664" s="120"/>
      <c r="B664" s="120"/>
      <c r="C664" s="120"/>
      <c r="D664" s="119"/>
      <c r="E664" s="115"/>
      <c r="F664" s="115"/>
      <c r="G664" s="116"/>
      <c r="H664" s="116"/>
      <c r="I664" s="132"/>
      <c r="J664" s="115"/>
    </row>
    <row r="665">
      <c r="A665" s="120"/>
      <c r="B665" s="120"/>
      <c r="C665" s="120"/>
      <c r="D665" s="119"/>
      <c r="E665" s="115"/>
      <c r="F665" s="115"/>
      <c r="G665" s="116"/>
      <c r="H665" s="116"/>
      <c r="I665" s="132"/>
      <c r="J665" s="115"/>
    </row>
    <row r="666">
      <c r="A666" s="120"/>
      <c r="B666" s="120"/>
      <c r="C666" s="120"/>
      <c r="D666" s="119"/>
      <c r="E666" s="115"/>
      <c r="F666" s="115"/>
      <c r="G666" s="116"/>
      <c r="H666" s="116"/>
      <c r="I666" s="132"/>
      <c r="J666" s="115"/>
    </row>
    <row r="667">
      <c r="A667" s="120"/>
      <c r="B667" s="120"/>
      <c r="C667" s="120"/>
      <c r="D667" s="119"/>
      <c r="E667" s="115"/>
      <c r="F667" s="115"/>
      <c r="G667" s="116"/>
      <c r="H667" s="116"/>
      <c r="I667" s="132"/>
      <c r="J667" s="115"/>
    </row>
    <row r="668">
      <c r="A668" s="120"/>
      <c r="B668" s="120"/>
      <c r="C668" s="120"/>
      <c r="D668" s="119"/>
      <c r="E668" s="115"/>
      <c r="F668" s="115"/>
      <c r="G668" s="116"/>
      <c r="H668" s="116"/>
      <c r="I668" s="132"/>
      <c r="J668" s="115"/>
    </row>
    <row r="669">
      <c r="A669" s="120"/>
      <c r="B669" s="120"/>
      <c r="C669" s="120"/>
      <c r="D669" s="119"/>
      <c r="E669" s="115"/>
      <c r="F669" s="115"/>
      <c r="G669" s="116"/>
      <c r="H669" s="116"/>
      <c r="I669" s="132"/>
      <c r="J669" s="115"/>
    </row>
    <row r="670">
      <c r="A670" s="120"/>
      <c r="B670" s="120"/>
      <c r="C670" s="120"/>
      <c r="D670" s="119"/>
      <c r="E670" s="115"/>
      <c r="F670" s="115"/>
      <c r="G670" s="116"/>
      <c r="H670" s="116"/>
      <c r="I670" s="132"/>
      <c r="J670" s="115"/>
    </row>
    <row r="671">
      <c r="A671" s="120"/>
      <c r="B671" s="120"/>
      <c r="C671" s="120"/>
      <c r="D671" s="119"/>
      <c r="E671" s="115"/>
      <c r="F671" s="115"/>
      <c r="G671" s="116"/>
      <c r="H671" s="116"/>
      <c r="I671" s="132"/>
      <c r="J671" s="115"/>
    </row>
    <row r="672">
      <c r="A672" s="120"/>
      <c r="B672" s="120"/>
      <c r="C672" s="120"/>
      <c r="D672" s="119"/>
      <c r="E672" s="115"/>
      <c r="F672" s="115"/>
      <c r="G672" s="116"/>
      <c r="H672" s="116"/>
      <c r="I672" s="132"/>
      <c r="J672" s="115"/>
    </row>
    <row r="673">
      <c r="A673" s="120"/>
      <c r="B673" s="120"/>
      <c r="C673" s="120"/>
      <c r="D673" s="119"/>
      <c r="E673" s="115"/>
      <c r="F673" s="115"/>
      <c r="G673" s="116"/>
      <c r="H673" s="116"/>
      <c r="I673" s="132"/>
      <c r="J673" s="115"/>
    </row>
    <row r="674">
      <c r="A674" s="120"/>
      <c r="B674" s="120"/>
      <c r="C674" s="120"/>
      <c r="D674" s="119"/>
      <c r="E674" s="115"/>
      <c r="F674" s="115"/>
      <c r="G674" s="116"/>
      <c r="H674" s="116"/>
      <c r="I674" s="132"/>
      <c r="J674" s="115"/>
    </row>
    <row r="675">
      <c r="A675" s="120"/>
      <c r="B675" s="120"/>
      <c r="C675" s="120"/>
      <c r="D675" s="119"/>
      <c r="E675" s="115"/>
      <c r="F675" s="115"/>
      <c r="G675" s="116"/>
      <c r="H675" s="116"/>
      <c r="I675" s="132"/>
      <c r="J675" s="115"/>
    </row>
    <row r="676">
      <c r="A676" s="120"/>
      <c r="B676" s="120"/>
      <c r="C676" s="120"/>
      <c r="D676" s="119"/>
      <c r="E676" s="115"/>
      <c r="F676" s="115"/>
      <c r="G676" s="116"/>
      <c r="H676" s="116"/>
      <c r="I676" s="132"/>
      <c r="J676" s="115"/>
    </row>
    <row r="677">
      <c r="A677" s="120"/>
      <c r="B677" s="120"/>
      <c r="C677" s="120"/>
      <c r="D677" s="119"/>
      <c r="E677" s="115"/>
      <c r="F677" s="115"/>
      <c r="G677" s="116"/>
      <c r="H677" s="116"/>
      <c r="I677" s="132"/>
      <c r="J677" s="115"/>
    </row>
    <row r="678">
      <c r="A678" s="120"/>
      <c r="B678" s="120"/>
      <c r="C678" s="120"/>
      <c r="D678" s="119"/>
      <c r="E678" s="115"/>
      <c r="F678" s="115"/>
      <c r="G678" s="116"/>
      <c r="H678" s="116"/>
      <c r="I678" s="132"/>
      <c r="J678" s="115"/>
    </row>
    <row r="679">
      <c r="A679" s="120"/>
      <c r="B679" s="120"/>
      <c r="C679" s="120"/>
      <c r="D679" s="119"/>
      <c r="E679" s="115"/>
      <c r="F679" s="115"/>
      <c r="G679" s="116"/>
      <c r="H679" s="116"/>
      <c r="I679" s="132"/>
      <c r="J679" s="115"/>
    </row>
    <row r="680">
      <c r="A680" s="120"/>
      <c r="B680" s="120"/>
      <c r="C680" s="120"/>
      <c r="D680" s="119"/>
      <c r="E680" s="115"/>
      <c r="F680" s="115"/>
      <c r="G680" s="116"/>
      <c r="H680" s="116"/>
      <c r="I680" s="132"/>
      <c r="J680" s="115"/>
    </row>
    <row r="681">
      <c r="A681" s="120"/>
      <c r="B681" s="120"/>
      <c r="C681" s="120"/>
      <c r="D681" s="119"/>
      <c r="E681" s="115"/>
      <c r="F681" s="115"/>
      <c r="G681" s="116"/>
      <c r="H681" s="116"/>
      <c r="I681" s="132"/>
      <c r="J681" s="115"/>
    </row>
    <row r="682">
      <c r="A682" s="120"/>
      <c r="B682" s="120"/>
      <c r="C682" s="120"/>
      <c r="D682" s="119"/>
      <c r="E682" s="115"/>
      <c r="F682" s="115"/>
      <c r="G682" s="116"/>
      <c r="H682" s="116"/>
      <c r="I682" s="132"/>
      <c r="J682" s="115"/>
    </row>
    <row r="683">
      <c r="A683" s="120"/>
      <c r="B683" s="120"/>
      <c r="C683" s="120"/>
      <c r="D683" s="119"/>
      <c r="E683" s="115"/>
      <c r="F683" s="115"/>
      <c r="G683" s="116"/>
      <c r="H683" s="116"/>
      <c r="I683" s="132"/>
      <c r="J683" s="115"/>
    </row>
    <row r="684">
      <c r="A684" s="120"/>
      <c r="B684" s="120"/>
      <c r="C684" s="120"/>
      <c r="D684" s="119"/>
      <c r="E684" s="115"/>
      <c r="F684" s="115"/>
      <c r="G684" s="116"/>
      <c r="H684" s="116"/>
      <c r="I684" s="132"/>
      <c r="J684" s="115"/>
    </row>
    <row r="685">
      <c r="A685" s="120"/>
      <c r="B685" s="120"/>
      <c r="C685" s="120"/>
      <c r="D685" s="119"/>
      <c r="E685" s="115"/>
      <c r="F685" s="115"/>
      <c r="G685" s="116"/>
      <c r="H685" s="116"/>
      <c r="I685" s="132"/>
      <c r="J685" s="115"/>
    </row>
    <row r="686">
      <c r="A686" s="120"/>
      <c r="B686" s="120"/>
      <c r="C686" s="120"/>
      <c r="D686" s="119"/>
      <c r="E686" s="115"/>
      <c r="F686" s="115"/>
      <c r="G686" s="116"/>
      <c r="H686" s="116"/>
      <c r="I686" s="132"/>
      <c r="J686" s="115"/>
    </row>
    <row r="687">
      <c r="A687" s="120"/>
      <c r="B687" s="120"/>
      <c r="C687" s="120"/>
      <c r="D687" s="119"/>
      <c r="E687" s="115"/>
      <c r="F687" s="115"/>
      <c r="G687" s="116"/>
      <c r="H687" s="116"/>
      <c r="I687" s="132"/>
      <c r="J687" s="115"/>
    </row>
    <row r="688">
      <c r="A688" s="120"/>
      <c r="B688" s="120"/>
      <c r="C688" s="120"/>
      <c r="D688" s="119"/>
      <c r="E688" s="115"/>
      <c r="F688" s="115"/>
      <c r="G688" s="116"/>
      <c r="H688" s="116"/>
      <c r="I688" s="132"/>
      <c r="J688" s="115"/>
    </row>
    <row r="689">
      <c r="A689" s="120"/>
      <c r="B689" s="120"/>
      <c r="C689" s="120"/>
      <c r="D689" s="119"/>
      <c r="E689" s="115"/>
      <c r="F689" s="115"/>
      <c r="G689" s="116"/>
      <c r="H689" s="116"/>
      <c r="I689" s="132"/>
      <c r="J689" s="115"/>
    </row>
    <row r="690">
      <c r="A690" s="120"/>
      <c r="B690" s="120"/>
      <c r="C690" s="120"/>
      <c r="D690" s="119"/>
      <c r="E690" s="115"/>
      <c r="F690" s="115"/>
      <c r="G690" s="116"/>
      <c r="H690" s="116"/>
      <c r="I690" s="132"/>
      <c r="J690" s="115"/>
    </row>
    <row r="691">
      <c r="A691" s="120"/>
      <c r="B691" s="120"/>
      <c r="C691" s="120"/>
      <c r="D691" s="119"/>
      <c r="E691" s="115"/>
      <c r="F691" s="115"/>
      <c r="G691" s="116"/>
      <c r="H691" s="116"/>
      <c r="I691" s="132"/>
      <c r="J691" s="115"/>
    </row>
    <row r="692">
      <c r="A692" s="120"/>
      <c r="B692" s="120"/>
      <c r="C692" s="120"/>
      <c r="D692" s="119"/>
      <c r="E692" s="115"/>
      <c r="F692" s="115"/>
      <c r="G692" s="116"/>
      <c r="H692" s="116"/>
      <c r="I692" s="132"/>
      <c r="J692" s="115"/>
    </row>
    <row r="693">
      <c r="A693" s="120"/>
      <c r="B693" s="120"/>
      <c r="C693" s="120"/>
      <c r="D693" s="119"/>
      <c r="E693" s="115"/>
      <c r="F693" s="115"/>
      <c r="G693" s="116"/>
      <c r="H693" s="116"/>
      <c r="I693" s="132"/>
      <c r="J693" s="115"/>
    </row>
    <row r="694">
      <c r="A694" s="120"/>
      <c r="B694" s="120"/>
      <c r="C694" s="120"/>
      <c r="D694" s="119"/>
      <c r="E694" s="115"/>
      <c r="F694" s="115"/>
      <c r="G694" s="116"/>
      <c r="H694" s="116"/>
      <c r="I694" s="132"/>
      <c r="J694" s="115"/>
    </row>
    <row r="695">
      <c r="A695" s="120"/>
      <c r="B695" s="120"/>
      <c r="C695" s="120"/>
      <c r="D695" s="119"/>
      <c r="E695" s="115"/>
      <c r="F695" s="115"/>
      <c r="G695" s="116"/>
      <c r="H695" s="116"/>
      <c r="I695" s="132"/>
      <c r="J695" s="115"/>
    </row>
    <row r="696">
      <c r="A696" s="120"/>
      <c r="B696" s="120"/>
      <c r="C696" s="120"/>
      <c r="D696" s="119"/>
      <c r="E696" s="115"/>
      <c r="F696" s="115"/>
      <c r="G696" s="116"/>
      <c r="H696" s="116"/>
      <c r="I696" s="132"/>
      <c r="J696" s="115"/>
    </row>
    <row r="697">
      <c r="A697" s="120"/>
      <c r="B697" s="120"/>
      <c r="C697" s="120"/>
      <c r="D697" s="119"/>
      <c r="E697" s="115"/>
      <c r="F697" s="115"/>
      <c r="G697" s="116"/>
      <c r="H697" s="116"/>
      <c r="I697" s="132"/>
      <c r="J697" s="115"/>
    </row>
    <row r="698">
      <c r="A698" s="120"/>
      <c r="B698" s="120"/>
      <c r="C698" s="120"/>
      <c r="D698" s="119"/>
      <c r="E698" s="115"/>
      <c r="F698" s="115"/>
      <c r="G698" s="116"/>
      <c r="H698" s="116"/>
      <c r="I698" s="132"/>
      <c r="J698" s="115"/>
    </row>
    <row r="699">
      <c r="A699" s="120"/>
      <c r="B699" s="120"/>
      <c r="C699" s="120"/>
      <c r="D699" s="119"/>
      <c r="E699" s="115"/>
      <c r="F699" s="115"/>
      <c r="G699" s="116"/>
      <c r="H699" s="116"/>
      <c r="I699" s="132"/>
      <c r="J699" s="115"/>
    </row>
    <row r="700">
      <c r="A700" s="120"/>
      <c r="B700" s="120"/>
      <c r="C700" s="120"/>
      <c r="D700" s="119"/>
      <c r="E700" s="115"/>
      <c r="F700" s="115"/>
      <c r="G700" s="116"/>
      <c r="H700" s="116"/>
      <c r="I700" s="132"/>
      <c r="J700" s="115"/>
    </row>
    <row r="701">
      <c r="A701" s="120"/>
      <c r="B701" s="120"/>
      <c r="C701" s="120"/>
      <c r="D701" s="119"/>
      <c r="E701" s="115"/>
      <c r="F701" s="115"/>
      <c r="G701" s="116"/>
      <c r="H701" s="116"/>
      <c r="I701" s="132"/>
      <c r="J701" s="115"/>
    </row>
    <row r="702">
      <c r="A702" s="120"/>
      <c r="B702" s="120"/>
      <c r="C702" s="120"/>
      <c r="D702" s="119"/>
      <c r="E702" s="115"/>
      <c r="F702" s="115"/>
      <c r="G702" s="116"/>
      <c r="H702" s="116"/>
      <c r="I702" s="132"/>
      <c r="J702" s="115"/>
    </row>
    <row r="703">
      <c r="A703" s="120"/>
      <c r="B703" s="120"/>
      <c r="C703" s="120"/>
      <c r="D703" s="119"/>
      <c r="E703" s="115"/>
      <c r="F703" s="115"/>
      <c r="G703" s="116"/>
      <c r="H703" s="116"/>
      <c r="I703" s="132"/>
      <c r="J703" s="115"/>
    </row>
    <row r="704">
      <c r="A704" s="120"/>
      <c r="B704" s="120"/>
      <c r="C704" s="120"/>
      <c r="D704" s="119"/>
      <c r="E704" s="115"/>
      <c r="F704" s="115"/>
      <c r="G704" s="116"/>
      <c r="H704" s="116"/>
      <c r="I704" s="132"/>
      <c r="J704" s="115"/>
    </row>
    <row r="705">
      <c r="A705" s="120"/>
      <c r="B705" s="120"/>
      <c r="C705" s="120"/>
      <c r="D705" s="119"/>
      <c r="E705" s="115"/>
      <c r="F705" s="115"/>
      <c r="G705" s="116"/>
      <c r="H705" s="116"/>
      <c r="I705" s="132"/>
      <c r="J705" s="115"/>
    </row>
    <row r="706">
      <c r="A706" s="120"/>
      <c r="B706" s="120"/>
      <c r="C706" s="120"/>
      <c r="D706" s="119"/>
      <c r="E706" s="115"/>
      <c r="F706" s="115"/>
      <c r="G706" s="116"/>
      <c r="H706" s="116"/>
      <c r="I706" s="132"/>
      <c r="J706" s="115"/>
    </row>
    <row r="707">
      <c r="A707" s="120"/>
      <c r="B707" s="120"/>
      <c r="C707" s="120"/>
      <c r="D707" s="119"/>
      <c r="E707" s="115"/>
      <c r="F707" s="115"/>
      <c r="G707" s="116"/>
      <c r="H707" s="116"/>
      <c r="I707" s="132"/>
      <c r="J707" s="115"/>
    </row>
    <row r="708">
      <c r="A708" s="120"/>
      <c r="B708" s="120"/>
      <c r="C708" s="120"/>
      <c r="D708" s="119"/>
      <c r="E708" s="115"/>
      <c r="F708" s="115"/>
      <c r="G708" s="116"/>
      <c r="H708" s="116"/>
      <c r="I708" s="132"/>
      <c r="J708" s="115"/>
    </row>
    <row r="709">
      <c r="A709" s="120"/>
      <c r="B709" s="120"/>
      <c r="C709" s="120"/>
      <c r="D709" s="119"/>
      <c r="E709" s="115"/>
      <c r="F709" s="115"/>
      <c r="G709" s="116"/>
      <c r="H709" s="116"/>
      <c r="I709" s="132"/>
      <c r="J709" s="115"/>
    </row>
    <row r="710">
      <c r="A710" s="120"/>
      <c r="B710" s="120"/>
      <c r="C710" s="120"/>
      <c r="D710" s="119"/>
      <c r="E710" s="115"/>
      <c r="F710" s="115"/>
      <c r="G710" s="116"/>
      <c r="H710" s="116"/>
      <c r="I710" s="132"/>
      <c r="J710" s="115"/>
    </row>
    <row r="711">
      <c r="A711" s="120"/>
      <c r="B711" s="120"/>
      <c r="C711" s="120"/>
      <c r="D711" s="119"/>
      <c r="E711" s="115"/>
      <c r="F711" s="115"/>
      <c r="G711" s="116"/>
      <c r="H711" s="116"/>
      <c r="I711" s="132"/>
      <c r="J711" s="115"/>
    </row>
    <row r="712">
      <c r="A712" s="120"/>
      <c r="B712" s="120"/>
      <c r="C712" s="120"/>
      <c r="D712" s="119"/>
      <c r="E712" s="115"/>
      <c r="F712" s="115"/>
      <c r="G712" s="116"/>
      <c r="H712" s="116"/>
      <c r="I712" s="132"/>
      <c r="J712" s="115"/>
    </row>
    <row r="713">
      <c r="A713" s="120"/>
      <c r="B713" s="120"/>
      <c r="C713" s="120"/>
      <c r="D713" s="119"/>
      <c r="E713" s="115"/>
      <c r="F713" s="115"/>
      <c r="G713" s="116"/>
      <c r="H713" s="116"/>
      <c r="I713" s="132"/>
      <c r="J713" s="11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0" t="s">
        <v>1</v>
      </c>
      <c r="B1" s="130" t="s">
        <v>444</v>
      </c>
      <c r="C1" s="130" t="s">
        <v>958</v>
      </c>
      <c r="D1" s="130" t="s">
        <v>445</v>
      </c>
      <c r="E1" s="130" t="s">
        <v>3</v>
      </c>
      <c r="F1" s="130" t="s">
        <v>446</v>
      </c>
      <c r="G1" s="130" t="s">
        <v>447</v>
      </c>
      <c r="H1" s="130" t="s">
        <v>448</v>
      </c>
      <c r="I1" s="133" t="s">
        <v>959</v>
      </c>
    </row>
    <row r="2">
      <c r="A2" s="130" t="s">
        <v>83</v>
      </c>
      <c r="B2" s="130" t="s">
        <v>960</v>
      </c>
      <c r="D2" s="130" t="s">
        <v>474</v>
      </c>
      <c r="E2" s="130" t="s">
        <v>451</v>
      </c>
      <c r="F2" s="134">
        <v>46015.22916666667</v>
      </c>
      <c r="G2" s="130" t="s">
        <v>961</v>
      </c>
      <c r="H2" s="130" t="s">
        <v>474</v>
      </c>
      <c r="I2" s="133"/>
    </row>
    <row r="3">
      <c r="A3" s="130" t="s">
        <v>962</v>
      </c>
      <c r="B3" s="130" t="s">
        <v>963</v>
      </c>
      <c r="D3" s="130" t="s">
        <v>457</v>
      </c>
      <c r="E3" s="130" t="s">
        <v>484</v>
      </c>
      <c r="F3" s="135">
        <v>46138.22916666667</v>
      </c>
      <c r="G3" s="130" t="s">
        <v>964</v>
      </c>
      <c r="I3" s="133"/>
    </row>
    <row r="4">
      <c r="A4" s="130" t="s">
        <v>965</v>
      </c>
      <c r="B4" s="130" t="s">
        <v>966</v>
      </c>
      <c r="D4" s="130" t="s">
        <v>450</v>
      </c>
      <c r="E4" s="130" t="s">
        <v>451</v>
      </c>
      <c r="F4" s="134">
        <v>46001.22916666667</v>
      </c>
      <c r="G4" s="130" t="s">
        <v>967</v>
      </c>
      <c r="H4" s="130" t="s">
        <v>450</v>
      </c>
      <c r="I4" s="133">
        <v>0.0</v>
      </c>
    </row>
    <row r="5">
      <c r="A5" s="130" t="s">
        <v>21</v>
      </c>
      <c r="B5" s="130" t="s">
        <v>968</v>
      </c>
      <c r="D5" s="130" t="s">
        <v>474</v>
      </c>
      <c r="E5" s="130" t="s">
        <v>451</v>
      </c>
      <c r="F5" s="134">
        <v>46002.22916666667</v>
      </c>
      <c r="G5" s="130" t="s">
        <v>969</v>
      </c>
      <c r="H5" s="130" t="s">
        <v>549</v>
      </c>
      <c r="I5" s="133">
        <v>0.0</v>
      </c>
    </row>
    <row r="6">
      <c r="A6" s="130" t="s">
        <v>79</v>
      </c>
      <c r="B6" s="130" t="s">
        <v>970</v>
      </c>
      <c r="D6" s="130" t="s">
        <v>453</v>
      </c>
      <c r="E6" s="130" t="s">
        <v>451</v>
      </c>
      <c r="F6" s="134">
        <v>46020.22916666667</v>
      </c>
      <c r="G6" s="130" t="s">
        <v>971</v>
      </c>
      <c r="H6" s="130" t="s">
        <v>474</v>
      </c>
      <c r="I6" s="133">
        <v>0.0</v>
      </c>
    </row>
    <row r="7">
      <c r="A7" s="130" t="s">
        <v>972</v>
      </c>
      <c r="B7" s="130" t="s">
        <v>973</v>
      </c>
      <c r="D7" s="130" t="s">
        <v>457</v>
      </c>
      <c r="E7" s="130" t="s">
        <v>451</v>
      </c>
      <c r="F7" s="134">
        <v>46056.22916666667</v>
      </c>
      <c r="G7" s="130" t="s">
        <v>974</v>
      </c>
      <c r="H7" s="130" t="s">
        <v>450</v>
      </c>
      <c r="I7" s="133">
        <v>0.0</v>
      </c>
    </row>
    <row r="8">
      <c r="A8" s="130" t="s">
        <v>283</v>
      </c>
      <c r="B8" s="130" t="s">
        <v>975</v>
      </c>
      <c r="D8" s="130" t="s">
        <v>450</v>
      </c>
      <c r="E8" s="130" t="s">
        <v>451</v>
      </c>
      <c r="F8" s="134">
        <v>46034.22916666667</v>
      </c>
      <c r="G8" s="130" t="s">
        <v>976</v>
      </c>
      <c r="H8" s="130" t="s">
        <v>450</v>
      </c>
      <c r="I8" s="133">
        <v>0.0</v>
      </c>
    </row>
    <row r="9">
      <c r="A9" s="130" t="s">
        <v>977</v>
      </c>
      <c r="B9" s="130" t="s">
        <v>978</v>
      </c>
      <c r="D9" s="130" t="s">
        <v>453</v>
      </c>
      <c r="E9" s="130" t="s">
        <v>451</v>
      </c>
      <c r="F9" s="134">
        <v>46034.22916666667</v>
      </c>
      <c r="G9" s="130" t="s">
        <v>979</v>
      </c>
      <c r="H9" s="130" t="s">
        <v>453</v>
      </c>
      <c r="I9" s="133" t="s">
        <v>980</v>
      </c>
    </row>
    <row r="10">
      <c r="A10" s="130" t="s">
        <v>981</v>
      </c>
      <c r="B10" s="130" t="s">
        <v>982</v>
      </c>
      <c r="D10" s="130" t="s">
        <v>450</v>
      </c>
      <c r="E10" s="130" t="s">
        <v>451</v>
      </c>
      <c r="F10" s="134">
        <v>46007.22916666667</v>
      </c>
      <c r="G10" s="130" t="s">
        <v>983</v>
      </c>
      <c r="H10" s="130" t="s">
        <v>450</v>
      </c>
      <c r="I10" s="133" t="s">
        <v>984</v>
      </c>
    </row>
    <row r="11">
      <c r="A11" s="130" t="s">
        <v>985</v>
      </c>
      <c r="B11" s="130" t="s">
        <v>986</v>
      </c>
      <c r="D11" s="130" t="s">
        <v>457</v>
      </c>
      <c r="E11" s="130" t="s">
        <v>451</v>
      </c>
      <c r="F11" s="134">
        <v>46027.22916666667</v>
      </c>
      <c r="G11" s="130" t="s">
        <v>987</v>
      </c>
      <c r="H11" s="130" t="s">
        <v>457</v>
      </c>
      <c r="I11" s="133">
        <v>0.0</v>
      </c>
    </row>
    <row r="12">
      <c r="A12" s="130" t="s">
        <v>988</v>
      </c>
      <c r="B12" s="130" t="s">
        <v>731</v>
      </c>
      <c r="D12" s="130" t="s">
        <v>457</v>
      </c>
      <c r="E12" s="130" t="s">
        <v>451</v>
      </c>
      <c r="F12" s="134">
        <v>46071.22916666667</v>
      </c>
      <c r="G12" s="130" t="s">
        <v>989</v>
      </c>
      <c r="H12" s="130" t="s">
        <v>457</v>
      </c>
      <c r="I12" s="133" t="s">
        <v>990</v>
      </c>
    </row>
    <row r="13">
      <c r="A13" s="130" t="s">
        <v>991</v>
      </c>
      <c r="B13" s="130" t="s">
        <v>992</v>
      </c>
      <c r="D13" s="130" t="s">
        <v>457</v>
      </c>
      <c r="E13" s="130" t="s">
        <v>451</v>
      </c>
      <c r="F13" s="134">
        <v>46049.22916666667</v>
      </c>
      <c r="G13" s="130" t="s">
        <v>993</v>
      </c>
      <c r="H13" s="130" t="s">
        <v>450</v>
      </c>
      <c r="I13" s="133" t="s">
        <v>994</v>
      </c>
    </row>
    <row r="14">
      <c r="A14" s="130" t="s">
        <v>995</v>
      </c>
      <c r="B14" s="130" t="s">
        <v>996</v>
      </c>
      <c r="D14" s="130" t="s">
        <v>457</v>
      </c>
      <c r="E14" s="130" t="s">
        <v>451</v>
      </c>
      <c r="F14" s="134">
        <v>46095.22916666667</v>
      </c>
      <c r="G14" s="130" t="s">
        <v>997</v>
      </c>
      <c r="H14" s="130" t="s">
        <v>457</v>
      </c>
      <c r="I14" s="133" t="s">
        <v>998</v>
      </c>
    </row>
    <row r="15">
      <c r="A15" s="130" t="s">
        <v>999</v>
      </c>
      <c r="B15" s="130" t="s">
        <v>1000</v>
      </c>
      <c r="D15" s="130" t="s">
        <v>474</v>
      </c>
      <c r="E15" s="130" t="s">
        <v>451</v>
      </c>
      <c r="F15" s="134">
        <v>46036.22916666667</v>
      </c>
      <c r="G15" s="130" t="s">
        <v>1001</v>
      </c>
      <c r="H15" s="130" t="s">
        <v>549</v>
      </c>
      <c r="I15" s="133"/>
    </row>
    <row r="16">
      <c r="A16" s="130" t="s">
        <v>262</v>
      </c>
      <c r="B16" s="130" t="s">
        <v>1002</v>
      </c>
      <c r="D16" s="130" t="s">
        <v>457</v>
      </c>
      <c r="E16" s="130" t="s">
        <v>451</v>
      </c>
      <c r="F16" s="134">
        <v>46041.22916666667</v>
      </c>
      <c r="G16" s="130" t="s">
        <v>1003</v>
      </c>
      <c r="H16" s="130" t="s">
        <v>1004</v>
      </c>
      <c r="I16" s="133">
        <v>0.0</v>
      </c>
    </row>
    <row r="17">
      <c r="A17" s="130" t="s">
        <v>32</v>
      </c>
      <c r="B17" s="130" t="s">
        <v>1005</v>
      </c>
      <c r="D17" s="130" t="s">
        <v>486</v>
      </c>
      <c r="E17" s="130" t="s">
        <v>451</v>
      </c>
      <c r="F17" s="134">
        <v>46079.22916666667</v>
      </c>
      <c r="G17" s="130" t="s">
        <v>1006</v>
      </c>
      <c r="H17" s="130" t="s">
        <v>457</v>
      </c>
      <c r="I17" s="133" t="s">
        <v>1007</v>
      </c>
    </row>
    <row r="18">
      <c r="A18" s="130" t="s">
        <v>293</v>
      </c>
      <c r="B18" s="130" t="s">
        <v>1008</v>
      </c>
      <c r="D18" s="130" t="s">
        <v>457</v>
      </c>
      <c r="E18" s="130" t="s">
        <v>451</v>
      </c>
      <c r="F18" s="134">
        <v>46048.22916666667</v>
      </c>
      <c r="G18" s="130" t="s">
        <v>1009</v>
      </c>
      <c r="H18" s="130" t="s">
        <v>457</v>
      </c>
      <c r="I18" s="130">
        <v>0.0</v>
      </c>
    </row>
    <row r="19">
      <c r="A19" s="130" t="s">
        <v>129</v>
      </c>
      <c r="B19" s="130" t="s">
        <v>1010</v>
      </c>
      <c r="D19" s="130" t="s">
        <v>457</v>
      </c>
      <c r="E19" s="130" t="s">
        <v>451</v>
      </c>
      <c r="F19" s="134">
        <v>46050.22916666667</v>
      </c>
      <c r="G19" s="130" t="s">
        <v>1011</v>
      </c>
      <c r="H19" s="130" t="s">
        <v>474</v>
      </c>
      <c r="I19" s="130">
        <v>0.0</v>
      </c>
    </row>
    <row r="20">
      <c r="A20" s="130" t="s">
        <v>252</v>
      </c>
      <c r="B20" s="130" t="s">
        <v>1012</v>
      </c>
      <c r="D20" s="130" t="s">
        <v>457</v>
      </c>
      <c r="E20" s="130" t="s">
        <v>451</v>
      </c>
      <c r="F20" s="134">
        <v>46056.22916666667</v>
      </c>
      <c r="G20" s="130" t="s">
        <v>1013</v>
      </c>
      <c r="H20" s="130" t="s">
        <v>457</v>
      </c>
      <c r="I20" s="133" t="s">
        <v>998</v>
      </c>
    </row>
    <row r="21">
      <c r="A21" s="130" t="s">
        <v>195</v>
      </c>
      <c r="B21" s="130" t="s">
        <v>1014</v>
      </c>
      <c r="D21" s="130" t="s">
        <v>474</v>
      </c>
      <c r="E21" s="130" t="s">
        <v>451</v>
      </c>
      <c r="F21" s="134">
        <v>46057.22916666667</v>
      </c>
      <c r="G21" s="130" t="s">
        <v>1015</v>
      </c>
      <c r="H21" s="130" t="s">
        <v>474</v>
      </c>
      <c r="I21" s="130">
        <v>0.0</v>
      </c>
    </row>
    <row r="22">
      <c r="A22" s="130" t="s">
        <v>1016</v>
      </c>
      <c r="B22" s="130" t="s">
        <v>1017</v>
      </c>
      <c r="D22" s="130" t="s">
        <v>457</v>
      </c>
      <c r="E22" s="130" t="s">
        <v>451</v>
      </c>
      <c r="F22" s="134">
        <v>46064.22916666667</v>
      </c>
      <c r="G22" s="130" t="s">
        <v>1018</v>
      </c>
      <c r="H22" s="130" t="s">
        <v>549</v>
      </c>
      <c r="I22" s="130">
        <v>0.0</v>
      </c>
    </row>
    <row r="23">
      <c r="A23" s="130" t="s">
        <v>330</v>
      </c>
      <c r="B23" s="130" t="s">
        <v>1019</v>
      </c>
      <c r="D23" s="130" t="s">
        <v>457</v>
      </c>
      <c r="E23" s="130" t="s">
        <v>451</v>
      </c>
      <c r="F23" s="134">
        <v>46065.22916666667</v>
      </c>
      <c r="G23" s="130" t="s">
        <v>1020</v>
      </c>
      <c r="H23" s="130" t="s">
        <v>457</v>
      </c>
      <c r="I23" s="130">
        <v>0.0</v>
      </c>
    </row>
    <row r="24">
      <c r="A24" s="130" t="s">
        <v>229</v>
      </c>
      <c r="B24" s="130" t="s">
        <v>1021</v>
      </c>
      <c r="D24" s="130" t="s">
        <v>457</v>
      </c>
      <c r="E24" s="130" t="s">
        <v>451</v>
      </c>
      <c r="F24" s="134">
        <v>46065.22916666667</v>
      </c>
      <c r="G24" s="130" t="s">
        <v>1022</v>
      </c>
      <c r="H24" s="130" t="s">
        <v>457</v>
      </c>
      <c r="I24" s="133">
        <v>0.0</v>
      </c>
    </row>
    <row r="25">
      <c r="A25" s="130" t="s">
        <v>140</v>
      </c>
      <c r="B25" s="130" t="s">
        <v>1023</v>
      </c>
      <c r="D25" s="130" t="s">
        <v>457</v>
      </c>
      <c r="E25" s="130" t="s">
        <v>451</v>
      </c>
      <c r="F25" s="134">
        <v>46069.22916666667</v>
      </c>
      <c r="G25" s="130" t="s">
        <v>1024</v>
      </c>
      <c r="H25" s="130" t="s">
        <v>474</v>
      </c>
      <c r="I25" s="130">
        <v>0.0</v>
      </c>
    </row>
    <row r="26">
      <c r="A26" s="130" t="s">
        <v>1025</v>
      </c>
      <c r="B26" s="130" t="s">
        <v>1026</v>
      </c>
      <c r="D26" s="130" t="s">
        <v>457</v>
      </c>
      <c r="E26" s="130" t="s">
        <v>451</v>
      </c>
      <c r="F26" s="134">
        <v>46091.22916666667</v>
      </c>
      <c r="G26" s="130" t="s">
        <v>1027</v>
      </c>
      <c r="H26" s="130" t="s">
        <v>457</v>
      </c>
      <c r="I26" s="133" t="s">
        <v>998</v>
      </c>
    </row>
    <row r="27">
      <c r="A27" s="130" t="s">
        <v>237</v>
      </c>
      <c r="B27" s="130" t="s">
        <v>1028</v>
      </c>
      <c r="D27" s="130" t="s">
        <v>457</v>
      </c>
      <c r="E27" s="130" t="s">
        <v>451</v>
      </c>
      <c r="F27" s="134">
        <v>46076.22916666667</v>
      </c>
      <c r="G27" s="130" t="s">
        <v>1029</v>
      </c>
      <c r="H27" s="130" t="s">
        <v>457</v>
      </c>
      <c r="I27" s="133">
        <v>0.0</v>
      </c>
    </row>
    <row r="28">
      <c r="A28" s="130" t="s">
        <v>1030</v>
      </c>
      <c r="B28" s="130" t="s">
        <v>1031</v>
      </c>
      <c r="D28" s="130" t="s">
        <v>457</v>
      </c>
      <c r="E28" s="130" t="s">
        <v>451</v>
      </c>
      <c r="F28" s="134">
        <v>46085.22916666667</v>
      </c>
      <c r="G28" s="130" t="s">
        <v>1032</v>
      </c>
      <c r="H28" s="130" t="s">
        <v>457</v>
      </c>
      <c r="I28" s="133" t="s">
        <v>998</v>
      </c>
    </row>
    <row r="29">
      <c r="A29" s="130" t="s">
        <v>1033</v>
      </c>
      <c r="B29" s="130" t="s">
        <v>1034</v>
      </c>
      <c r="D29" s="130" t="s">
        <v>457</v>
      </c>
      <c r="E29" s="130" t="s">
        <v>451</v>
      </c>
      <c r="F29" s="134">
        <v>46091.22916666667</v>
      </c>
      <c r="G29" s="130" t="s">
        <v>1035</v>
      </c>
      <c r="H29" s="130" t="s">
        <v>474</v>
      </c>
      <c r="I29" s="130" t="s">
        <v>1036</v>
      </c>
    </row>
    <row r="30">
      <c r="A30" s="130" t="s">
        <v>252</v>
      </c>
      <c r="B30" s="130" t="s">
        <v>1037</v>
      </c>
      <c r="D30" s="130" t="s">
        <v>474</v>
      </c>
      <c r="E30" s="130" t="s">
        <v>451</v>
      </c>
      <c r="F30" s="134">
        <v>46090.22916666667</v>
      </c>
      <c r="G30" s="130" t="s">
        <v>1038</v>
      </c>
      <c r="H30" s="130" t="s">
        <v>474</v>
      </c>
      <c r="I30" s="130" t="s">
        <v>998</v>
      </c>
    </row>
    <row r="31">
      <c r="A31" s="130" t="s">
        <v>11</v>
      </c>
      <c r="B31" s="130" t="s">
        <v>1039</v>
      </c>
      <c r="D31" s="130" t="s">
        <v>457</v>
      </c>
      <c r="E31" s="130" t="s">
        <v>451</v>
      </c>
      <c r="F31" s="134">
        <v>46137.22916666667</v>
      </c>
      <c r="G31" s="130" t="s">
        <v>1040</v>
      </c>
      <c r="H31" s="130" t="s">
        <v>457</v>
      </c>
      <c r="I31" s="133">
        <v>0.0</v>
      </c>
    </row>
    <row r="32">
      <c r="A32" s="130" t="s">
        <v>70</v>
      </c>
      <c r="B32" s="130" t="s">
        <v>1041</v>
      </c>
      <c r="D32" s="130" t="s">
        <v>486</v>
      </c>
      <c r="E32" s="130" t="s">
        <v>451</v>
      </c>
      <c r="F32" s="134">
        <v>46095.22916666667</v>
      </c>
      <c r="G32" s="130" t="s">
        <v>1042</v>
      </c>
      <c r="H32" s="130" t="s">
        <v>486</v>
      </c>
      <c r="I32" s="130" t="s">
        <v>998</v>
      </c>
    </row>
    <row r="33">
      <c r="A33" s="130" t="s">
        <v>1043</v>
      </c>
      <c r="B33" s="130" t="s">
        <v>996</v>
      </c>
      <c r="D33" s="130" t="s">
        <v>457</v>
      </c>
      <c r="E33" s="130" t="s">
        <v>451</v>
      </c>
      <c r="F33" s="134">
        <v>46028.22916666667</v>
      </c>
      <c r="G33" s="130" t="s">
        <v>997</v>
      </c>
      <c r="H33" s="130" t="s">
        <v>457</v>
      </c>
      <c r="I33" s="130" t="s">
        <v>998</v>
      </c>
    </row>
    <row r="34">
      <c r="A34" s="130" t="s">
        <v>995</v>
      </c>
      <c r="B34" s="130" t="s">
        <v>1044</v>
      </c>
      <c r="D34" s="130" t="s">
        <v>457</v>
      </c>
      <c r="E34" s="130" t="s">
        <v>451</v>
      </c>
      <c r="F34" s="134">
        <v>46081.22916666667</v>
      </c>
      <c r="G34" s="130" t="s">
        <v>1045</v>
      </c>
      <c r="H34" s="130" t="s">
        <v>457</v>
      </c>
      <c r="I34" s="130" t="s">
        <v>998</v>
      </c>
    </row>
    <row r="35">
      <c r="A35" s="130" t="s">
        <v>53</v>
      </c>
      <c r="B35" s="130" t="s">
        <v>1046</v>
      </c>
      <c r="D35" s="130" t="s">
        <v>549</v>
      </c>
      <c r="E35" s="130" t="s">
        <v>451</v>
      </c>
      <c r="F35" s="134">
        <v>46095.22916666667</v>
      </c>
      <c r="G35" s="130" t="s">
        <v>1047</v>
      </c>
      <c r="H35" s="130" t="s">
        <v>549</v>
      </c>
      <c r="I35" s="130" t="s">
        <v>998</v>
      </c>
    </row>
    <row r="36">
      <c r="A36" s="130" t="s">
        <v>1048</v>
      </c>
      <c r="B36" s="130" t="s">
        <v>1049</v>
      </c>
      <c r="D36" s="130" t="s">
        <v>474</v>
      </c>
      <c r="E36" s="130" t="s">
        <v>451</v>
      </c>
      <c r="F36" s="134">
        <v>46099.22916666667</v>
      </c>
      <c r="G36" s="130" t="s">
        <v>1050</v>
      </c>
      <c r="H36" s="130" t="s">
        <v>474</v>
      </c>
      <c r="I36" s="130" t="s">
        <v>1051</v>
      </c>
    </row>
    <row r="37">
      <c r="A37" s="130" t="s">
        <v>251</v>
      </c>
      <c r="B37" s="130" t="s">
        <v>1041</v>
      </c>
      <c r="D37" s="130" t="s">
        <v>474</v>
      </c>
      <c r="E37" s="130" t="s">
        <v>451</v>
      </c>
      <c r="F37" s="134">
        <v>46099.22916666667</v>
      </c>
      <c r="G37" s="130" t="s">
        <v>1009</v>
      </c>
      <c r="H37" s="130" t="s">
        <v>474</v>
      </c>
      <c r="I37" s="130" t="s">
        <v>998</v>
      </c>
    </row>
    <row r="38">
      <c r="A38" s="130" t="s">
        <v>191</v>
      </c>
      <c r="B38" s="130" t="s">
        <v>1052</v>
      </c>
      <c r="D38" s="130" t="s">
        <v>457</v>
      </c>
      <c r="E38" s="130" t="s">
        <v>451</v>
      </c>
      <c r="F38" s="134">
        <v>46137.22916666667</v>
      </c>
      <c r="G38" s="130" t="s">
        <v>1053</v>
      </c>
      <c r="H38" s="130" t="s">
        <v>457</v>
      </c>
      <c r="I38" s="130" t="s">
        <v>1054</v>
      </c>
    </row>
    <row r="39">
      <c r="A39" s="130" t="s">
        <v>1055</v>
      </c>
      <c r="B39" s="130" t="s">
        <v>1056</v>
      </c>
      <c r="D39" s="130" t="s">
        <v>474</v>
      </c>
      <c r="E39" s="130" t="s">
        <v>451</v>
      </c>
      <c r="F39" s="134">
        <v>46137.22916666667</v>
      </c>
      <c r="G39" s="130" t="s">
        <v>1057</v>
      </c>
      <c r="H39" s="130" t="s">
        <v>474</v>
      </c>
      <c r="I39" s="130" t="s">
        <v>1051</v>
      </c>
    </row>
    <row r="40">
      <c r="A40" s="130" t="s">
        <v>988</v>
      </c>
      <c r="B40" s="130" t="s">
        <v>1058</v>
      </c>
      <c r="D40" s="130" t="s">
        <v>457</v>
      </c>
      <c r="E40" s="130" t="s">
        <v>451</v>
      </c>
      <c r="F40" s="134">
        <v>46139.22916666667</v>
      </c>
      <c r="G40" s="130" t="s">
        <v>1059</v>
      </c>
      <c r="H40" s="130" t="s">
        <v>457</v>
      </c>
      <c r="I40" s="130" t="s">
        <v>1060</v>
      </c>
    </row>
    <row r="41">
      <c r="A41" s="130" t="s">
        <v>1061</v>
      </c>
      <c r="B41" s="130" t="s">
        <v>1062</v>
      </c>
      <c r="D41" s="130" t="s">
        <v>486</v>
      </c>
      <c r="E41" s="130" t="s">
        <v>451</v>
      </c>
      <c r="F41" s="134">
        <v>46140.22916666667</v>
      </c>
      <c r="G41" s="130" t="s">
        <v>1063</v>
      </c>
      <c r="H41" s="130" t="s">
        <v>486</v>
      </c>
      <c r="I41" s="130" t="s">
        <v>1036</v>
      </c>
    </row>
    <row r="42">
      <c r="A42" s="130" t="s">
        <v>53</v>
      </c>
      <c r="B42" s="130" t="s">
        <v>1064</v>
      </c>
      <c r="D42" s="130" t="s">
        <v>549</v>
      </c>
      <c r="E42" s="130" t="s">
        <v>451</v>
      </c>
      <c r="F42" s="134">
        <v>46162.22916666667</v>
      </c>
      <c r="G42" s="130" t="s">
        <v>1065</v>
      </c>
      <c r="H42" s="130" t="s">
        <v>459</v>
      </c>
      <c r="I42" s="130" t="s">
        <v>998</v>
      </c>
    </row>
    <row r="43">
      <c r="A43" s="130" t="s">
        <v>1066</v>
      </c>
      <c r="B43" s="130" t="s">
        <v>1067</v>
      </c>
      <c r="D43" s="130" t="s">
        <v>486</v>
      </c>
      <c r="E43" s="130" t="s">
        <v>451</v>
      </c>
      <c r="F43" s="134">
        <v>46158.22916666667</v>
      </c>
      <c r="G43" s="130" t="s">
        <v>1068</v>
      </c>
      <c r="H43" s="130" t="s">
        <v>486</v>
      </c>
      <c r="I43" s="130" t="s">
        <v>998</v>
      </c>
    </row>
    <row r="44">
      <c r="A44" s="130" t="s">
        <v>1061</v>
      </c>
      <c r="B44" s="130" t="s">
        <v>1069</v>
      </c>
      <c r="D44" s="130" t="s">
        <v>450</v>
      </c>
      <c r="E44" s="130" t="s">
        <v>451</v>
      </c>
      <c r="F44" s="134">
        <v>46160.22916666667</v>
      </c>
      <c r="G44" s="130" t="s">
        <v>1070</v>
      </c>
      <c r="H44" s="130" t="s">
        <v>450</v>
      </c>
      <c r="I44" s="130" t="s">
        <v>1036</v>
      </c>
    </row>
    <row r="45">
      <c r="A45" s="130" t="s">
        <v>326</v>
      </c>
      <c r="B45" s="130" t="s">
        <v>1071</v>
      </c>
      <c r="D45" s="130" t="s">
        <v>450</v>
      </c>
      <c r="E45" s="130" t="s">
        <v>484</v>
      </c>
      <c r="F45" s="134">
        <v>46161.22916666667</v>
      </c>
      <c r="I45" s="130" t="s">
        <v>998</v>
      </c>
    </row>
    <row r="46">
      <c r="A46" s="130" t="s">
        <v>26</v>
      </c>
      <c r="B46" s="130" t="s">
        <v>1072</v>
      </c>
      <c r="D46" s="130" t="s">
        <v>486</v>
      </c>
      <c r="E46" s="130" t="s">
        <v>451</v>
      </c>
      <c r="F46" s="134">
        <v>46164.22916666667</v>
      </c>
      <c r="G46" s="130" t="s">
        <v>1073</v>
      </c>
      <c r="H46" s="130" t="s">
        <v>486</v>
      </c>
      <c r="I46" s="130" t="s">
        <v>1036</v>
      </c>
    </row>
    <row r="47">
      <c r="A47" s="130" t="s">
        <v>1074</v>
      </c>
      <c r="B47" s="130" t="s">
        <v>1075</v>
      </c>
      <c r="D47" s="130" t="s">
        <v>486</v>
      </c>
      <c r="E47" s="130" t="s">
        <v>451</v>
      </c>
      <c r="F47" s="134">
        <v>46175.22916666667</v>
      </c>
      <c r="G47" s="130" t="s">
        <v>1076</v>
      </c>
      <c r="H47" s="130" t="s">
        <v>486</v>
      </c>
      <c r="I47" s="130" t="s">
        <v>1077</v>
      </c>
    </row>
    <row r="48">
      <c r="I48" s="136"/>
    </row>
    <row r="49">
      <c r="I49" s="136"/>
    </row>
    <row r="50">
      <c r="I50" s="136"/>
    </row>
    <row r="51">
      <c r="I51" s="136"/>
    </row>
    <row r="52">
      <c r="I52" s="136"/>
    </row>
    <row r="53">
      <c r="I53" s="136"/>
    </row>
    <row r="54">
      <c r="I54" s="136"/>
    </row>
    <row r="55">
      <c r="I55" s="136"/>
    </row>
    <row r="56">
      <c r="I56" s="136"/>
    </row>
    <row r="57">
      <c r="I57" s="136"/>
    </row>
    <row r="58">
      <c r="I58" s="136"/>
    </row>
    <row r="59">
      <c r="I59" s="136"/>
    </row>
    <row r="60">
      <c r="I60" s="136"/>
    </row>
    <row r="61">
      <c r="I61" s="136"/>
    </row>
    <row r="62">
      <c r="I62" s="136"/>
    </row>
    <row r="63">
      <c r="I63" s="136"/>
    </row>
    <row r="64">
      <c r="I64" s="136"/>
    </row>
    <row r="65">
      <c r="I65" s="136"/>
    </row>
    <row r="66">
      <c r="I66" s="136"/>
    </row>
    <row r="67">
      <c r="I67" s="136"/>
    </row>
    <row r="68">
      <c r="I68" s="136"/>
    </row>
    <row r="69">
      <c r="I69" s="136"/>
    </row>
    <row r="70">
      <c r="I70" s="136"/>
    </row>
    <row r="71">
      <c r="I71" s="136"/>
    </row>
    <row r="72">
      <c r="I72" s="136"/>
    </row>
    <row r="73">
      <c r="I73" s="136"/>
    </row>
    <row r="74">
      <c r="I74" s="136"/>
    </row>
    <row r="75">
      <c r="I75" s="136"/>
    </row>
    <row r="76">
      <c r="I76" s="136"/>
    </row>
    <row r="77">
      <c r="I77" s="136"/>
    </row>
    <row r="78">
      <c r="I78" s="136"/>
    </row>
    <row r="79">
      <c r="I79" s="136"/>
    </row>
    <row r="80">
      <c r="I80" s="136"/>
    </row>
    <row r="81">
      <c r="I81" s="136"/>
    </row>
    <row r="82">
      <c r="I82" s="136"/>
    </row>
    <row r="83">
      <c r="I83" s="136"/>
    </row>
    <row r="84">
      <c r="I84" s="136"/>
    </row>
    <row r="85">
      <c r="I85" s="136"/>
    </row>
    <row r="86">
      <c r="I86" s="136"/>
    </row>
    <row r="87">
      <c r="I87" s="136"/>
    </row>
    <row r="88">
      <c r="I88" s="136"/>
    </row>
    <row r="89">
      <c r="I89" s="136"/>
    </row>
    <row r="90">
      <c r="I90" s="136"/>
    </row>
    <row r="91">
      <c r="I91" s="136"/>
    </row>
    <row r="92">
      <c r="I92" s="136"/>
    </row>
    <row r="93">
      <c r="I93" s="136"/>
    </row>
    <row r="94">
      <c r="I94" s="136"/>
    </row>
    <row r="95">
      <c r="I95" s="136"/>
    </row>
    <row r="96">
      <c r="I96" s="136"/>
    </row>
    <row r="97">
      <c r="I97" s="136"/>
    </row>
    <row r="98">
      <c r="I98" s="136"/>
    </row>
    <row r="99">
      <c r="I99" s="136"/>
    </row>
    <row r="100">
      <c r="I100" s="136"/>
    </row>
    <row r="101">
      <c r="I101" s="136"/>
    </row>
    <row r="102">
      <c r="I102" s="136"/>
    </row>
    <row r="103">
      <c r="I103" s="136"/>
    </row>
    <row r="104">
      <c r="I104" s="136"/>
    </row>
    <row r="105">
      <c r="I105" s="136"/>
    </row>
    <row r="106">
      <c r="I106" s="136"/>
    </row>
    <row r="107">
      <c r="I107" s="136"/>
    </row>
    <row r="108">
      <c r="I108" s="136"/>
    </row>
    <row r="109">
      <c r="I109" s="136"/>
    </row>
    <row r="110">
      <c r="I110" s="136"/>
    </row>
    <row r="111">
      <c r="I111" s="136"/>
    </row>
    <row r="112">
      <c r="I112" s="136"/>
    </row>
    <row r="113">
      <c r="I113" s="136"/>
    </row>
    <row r="114">
      <c r="I114" s="136"/>
    </row>
    <row r="115">
      <c r="I115" s="136"/>
    </row>
    <row r="116">
      <c r="I116" s="136"/>
    </row>
    <row r="117">
      <c r="I117" s="136"/>
    </row>
    <row r="118">
      <c r="I118" s="136"/>
    </row>
    <row r="119">
      <c r="I119" s="136"/>
    </row>
    <row r="120">
      <c r="I120" s="136"/>
    </row>
    <row r="121">
      <c r="I121" s="136"/>
    </row>
    <row r="122">
      <c r="I122" s="136"/>
    </row>
    <row r="123">
      <c r="I123" s="136"/>
    </row>
    <row r="124">
      <c r="I124" s="136"/>
    </row>
    <row r="125">
      <c r="I125" s="136"/>
    </row>
    <row r="126">
      <c r="I126" s="136"/>
    </row>
    <row r="127">
      <c r="I127" s="136"/>
    </row>
    <row r="128">
      <c r="I128" s="136"/>
    </row>
    <row r="129">
      <c r="I129" s="136"/>
    </row>
    <row r="130">
      <c r="I130" s="136"/>
    </row>
    <row r="131">
      <c r="I131" s="136"/>
    </row>
    <row r="132">
      <c r="I132" s="136"/>
    </row>
    <row r="133">
      <c r="I133" s="136"/>
    </row>
    <row r="134">
      <c r="I134" s="136"/>
    </row>
    <row r="135">
      <c r="I135" s="136"/>
    </row>
    <row r="136">
      <c r="I136" s="136"/>
    </row>
    <row r="137">
      <c r="I137" s="136"/>
    </row>
    <row r="138">
      <c r="I138" s="136"/>
    </row>
    <row r="139">
      <c r="I139" s="136"/>
    </row>
    <row r="140">
      <c r="I140" s="136"/>
    </row>
    <row r="141">
      <c r="I141" s="136"/>
    </row>
    <row r="142">
      <c r="I142" s="136"/>
    </row>
    <row r="143">
      <c r="I143" s="136"/>
    </row>
    <row r="144">
      <c r="I144" s="136"/>
    </row>
    <row r="145">
      <c r="I145" s="136"/>
    </row>
    <row r="146">
      <c r="I146" s="136"/>
    </row>
    <row r="147">
      <c r="I147" s="136"/>
    </row>
    <row r="148">
      <c r="I148" s="136"/>
    </row>
    <row r="149">
      <c r="I149" s="136"/>
    </row>
    <row r="150">
      <c r="I150" s="136"/>
    </row>
    <row r="151">
      <c r="I151" s="136"/>
    </row>
    <row r="152">
      <c r="I152" s="136"/>
    </row>
    <row r="153">
      <c r="I153" s="136"/>
    </row>
    <row r="154">
      <c r="I154" s="136"/>
    </row>
    <row r="155">
      <c r="I155" s="136"/>
    </row>
    <row r="156">
      <c r="I156" s="136"/>
    </row>
    <row r="157">
      <c r="I157" s="136"/>
    </row>
    <row r="158">
      <c r="I158" s="136"/>
    </row>
    <row r="159">
      <c r="I159" s="136"/>
    </row>
    <row r="160">
      <c r="I160" s="136"/>
    </row>
    <row r="161">
      <c r="I161" s="136"/>
    </row>
    <row r="162">
      <c r="I162" s="136"/>
    </row>
    <row r="163">
      <c r="I163" s="136"/>
    </row>
    <row r="164">
      <c r="I164" s="136"/>
    </row>
    <row r="165">
      <c r="I165" s="136"/>
    </row>
    <row r="166">
      <c r="I166" s="136"/>
    </row>
    <row r="167">
      <c r="I167" s="136"/>
    </row>
    <row r="168">
      <c r="I168" s="136"/>
    </row>
    <row r="169">
      <c r="I169" s="136"/>
    </row>
    <row r="170">
      <c r="I170" s="136"/>
    </row>
    <row r="171">
      <c r="I171" s="136"/>
    </row>
    <row r="172">
      <c r="I172" s="136"/>
    </row>
    <row r="173">
      <c r="I173" s="136"/>
    </row>
    <row r="174">
      <c r="I174" s="136"/>
    </row>
    <row r="175">
      <c r="I175" s="136"/>
    </row>
    <row r="176">
      <c r="I176" s="136"/>
    </row>
    <row r="177">
      <c r="I177" s="136"/>
    </row>
    <row r="178">
      <c r="I178" s="136"/>
    </row>
    <row r="179">
      <c r="I179" s="136"/>
    </row>
    <row r="180">
      <c r="I180" s="136"/>
    </row>
    <row r="181">
      <c r="I181" s="136"/>
    </row>
    <row r="182">
      <c r="I182" s="136"/>
    </row>
    <row r="183">
      <c r="I183" s="136"/>
    </row>
    <row r="184">
      <c r="I184" s="136"/>
    </row>
    <row r="185">
      <c r="I185" s="136"/>
    </row>
    <row r="186">
      <c r="I186" s="136"/>
    </row>
    <row r="187">
      <c r="I187" s="136"/>
    </row>
    <row r="188">
      <c r="I188" s="136"/>
    </row>
    <row r="189">
      <c r="I189" s="136"/>
    </row>
    <row r="190">
      <c r="I190" s="136"/>
    </row>
    <row r="191">
      <c r="I191" s="136"/>
    </row>
    <row r="192">
      <c r="I192" s="136"/>
    </row>
    <row r="193">
      <c r="I193" s="136"/>
    </row>
    <row r="194">
      <c r="I194" s="136"/>
    </row>
    <row r="195">
      <c r="I195" s="136"/>
    </row>
    <row r="196">
      <c r="I196" s="136"/>
    </row>
    <row r="197">
      <c r="I197" s="136"/>
    </row>
    <row r="198">
      <c r="I198" s="136"/>
    </row>
    <row r="199">
      <c r="I199" s="136"/>
    </row>
    <row r="200">
      <c r="I200" s="136"/>
    </row>
    <row r="201">
      <c r="I201" s="136"/>
    </row>
    <row r="202">
      <c r="I202" s="136"/>
    </row>
    <row r="203">
      <c r="I203" s="136"/>
    </row>
    <row r="204">
      <c r="I204" s="136"/>
    </row>
    <row r="205">
      <c r="I205" s="136"/>
    </row>
    <row r="206">
      <c r="I206" s="136"/>
    </row>
    <row r="207">
      <c r="I207" s="136"/>
    </row>
    <row r="208">
      <c r="I208" s="136"/>
    </row>
    <row r="209">
      <c r="I209" s="136"/>
    </row>
    <row r="210">
      <c r="I210" s="136"/>
    </row>
    <row r="211">
      <c r="I211" s="136"/>
    </row>
    <row r="212">
      <c r="I212" s="136"/>
    </row>
    <row r="213">
      <c r="I213" s="136"/>
    </row>
    <row r="214">
      <c r="I214" s="136"/>
    </row>
    <row r="215">
      <c r="I215" s="136"/>
    </row>
    <row r="216">
      <c r="I216" s="136"/>
    </row>
    <row r="217">
      <c r="I217" s="136"/>
    </row>
    <row r="218">
      <c r="I218" s="136"/>
    </row>
    <row r="219">
      <c r="I219" s="136"/>
    </row>
    <row r="220">
      <c r="I220" s="136"/>
    </row>
    <row r="221">
      <c r="I221" s="136"/>
    </row>
    <row r="222">
      <c r="I222" s="136"/>
    </row>
    <row r="223">
      <c r="I223" s="136"/>
    </row>
    <row r="224">
      <c r="I224" s="136"/>
    </row>
    <row r="225">
      <c r="I225" s="136"/>
    </row>
    <row r="226">
      <c r="I226" s="136"/>
    </row>
    <row r="227">
      <c r="I227" s="136"/>
    </row>
    <row r="228">
      <c r="I228" s="136"/>
    </row>
    <row r="229">
      <c r="I229" s="136"/>
    </row>
    <row r="230">
      <c r="I230" s="136"/>
    </row>
    <row r="231">
      <c r="I231" s="136"/>
    </row>
    <row r="232">
      <c r="I232" s="136"/>
    </row>
    <row r="233">
      <c r="I233" s="136"/>
    </row>
    <row r="234">
      <c r="I234" s="136"/>
    </row>
    <row r="235">
      <c r="I235" s="136"/>
    </row>
    <row r="236">
      <c r="I236" s="136"/>
    </row>
    <row r="237">
      <c r="I237" s="136"/>
    </row>
    <row r="238">
      <c r="I238" s="136"/>
    </row>
    <row r="239">
      <c r="I239" s="136"/>
    </row>
    <row r="240">
      <c r="I240" s="136"/>
    </row>
    <row r="241">
      <c r="I241" s="136"/>
    </row>
    <row r="242">
      <c r="I242" s="136"/>
    </row>
    <row r="243">
      <c r="I243" s="136"/>
    </row>
    <row r="244">
      <c r="I244" s="136"/>
    </row>
    <row r="245">
      <c r="I245" s="136"/>
    </row>
    <row r="246">
      <c r="I246" s="136"/>
    </row>
    <row r="247">
      <c r="I247" s="136"/>
    </row>
    <row r="248">
      <c r="I248" s="136"/>
    </row>
    <row r="249">
      <c r="I249" s="136"/>
    </row>
    <row r="250">
      <c r="I250" s="136"/>
    </row>
    <row r="251">
      <c r="I251" s="136"/>
    </row>
    <row r="252">
      <c r="I252" s="136"/>
    </row>
    <row r="253">
      <c r="I253" s="136"/>
    </row>
    <row r="254">
      <c r="I254" s="136"/>
    </row>
    <row r="255">
      <c r="I255" s="136"/>
    </row>
    <row r="256">
      <c r="I256" s="136"/>
    </row>
    <row r="257">
      <c r="I257" s="136"/>
    </row>
    <row r="258">
      <c r="I258" s="136"/>
    </row>
    <row r="259">
      <c r="I259" s="136"/>
    </row>
    <row r="260">
      <c r="I260" s="136"/>
    </row>
    <row r="261">
      <c r="I261" s="136"/>
    </row>
    <row r="262">
      <c r="I262" s="136"/>
    </row>
    <row r="263">
      <c r="I263" s="136"/>
    </row>
    <row r="264">
      <c r="I264" s="136"/>
    </row>
    <row r="265">
      <c r="I265" s="136"/>
    </row>
    <row r="266">
      <c r="I266" s="136"/>
    </row>
    <row r="267">
      <c r="I267" s="136"/>
    </row>
    <row r="268">
      <c r="I268" s="136"/>
    </row>
    <row r="269">
      <c r="I269" s="136"/>
    </row>
    <row r="270">
      <c r="I270" s="136"/>
    </row>
    <row r="271">
      <c r="I271" s="136"/>
    </row>
    <row r="272">
      <c r="I272" s="136"/>
    </row>
    <row r="273">
      <c r="I273" s="136"/>
    </row>
    <row r="274">
      <c r="I274" s="136"/>
    </row>
    <row r="275">
      <c r="I275" s="136"/>
    </row>
    <row r="276">
      <c r="I276" s="136"/>
    </row>
    <row r="277">
      <c r="I277" s="136"/>
    </row>
    <row r="278">
      <c r="I278" s="136"/>
    </row>
    <row r="279">
      <c r="I279" s="136"/>
    </row>
    <row r="280">
      <c r="I280" s="136"/>
    </row>
    <row r="281">
      <c r="I281" s="136"/>
    </row>
    <row r="282">
      <c r="I282" s="136"/>
    </row>
    <row r="283">
      <c r="I283" s="136"/>
    </row>
    <row r="284">
      <c r="I284" s="136"/>
    </row>
    <row r="285">
      <c r="I285" s="136"/>
    </row>
    <row r="286">
      <c r="I286" s="136"/>
    </row>
    <row r="287">
      <c r="I287" s="136"/>
    </row>
    <row r="288">
      <c r="I288" s="136"/>
    </row>
    <row r="289">
      <c r="I289" s="136"/>
    </row>
    <row r="290">
      <c r="I290" s="136"/>
    </row>
    <row r="291">
      <c r="I291" s="136"/>
    </row>
    <row r="292">
      <c r="I292" s="136"/>
    </row>
    <row r="293">
      <c r="I293" s="136"/>
    </row>
    <row r="294">
      <c r="I294" s="136"/>
    </row>
    <row r="295">
      <c r="I295" s="136"/>
    </row>
    <row r="296">
      <c r="I296" s="136"/>
    </row>
    <row r="297">
      <c r="I297" s="136"/>
    </row>
    <row r="298">
      <c r="I298" s="136"/>
    </row>
    <row r="299">
      <c r="I299" s="136"/>
    </row>
    <row r="300">
      <c r="I300" s="136"/>
    </row>
    <row r="301">
      <c r="I301" s="136"/>
    </row>
    <row r="302">
      <c r="I302" s="136"/>
    </row>
    <row r="303">
      <c r="I303" s="136"/>
    </row>
    <row r="304">
      <c r="I304" s="136"/>
    </row>
    <row r="305">
      <c r="I305" s="136"/>
    </row>
    <row r="306">
      <c r="I306" s="136"/>
    </row>
    <row r="307">
      <c r="I307" s="136"/>
    </row>
    <row r="308">
      <c r="I308" s="136"/>
    </row>
    <row r="309">
      <c r="I309" s="136"/>
    </row>
    <row r="310">
      <c r="I310" s="136"/>
    </row>
    <row r="311">
      <c r="I311" s="136"/>
    </row>
    <row r="312">
      <c r="I312" s="136"/>
    </row>
    <row r="313">
      <c r="I313" s="136"/>
    </row>
    <row r="314">
      <c r="I314" s="136"/>
    </row>
    <row r="315">
      <c r="I315" s="136"/>
    </row>
    <row r="316">
      <c r="I316" s="136"/>
    </row>
    <row r="317">
      <c r="I317" s="136"/>
    </row>
    <row r="318">
      <c r="I318" s="136"/>
    </row>
    <row r="319">
      <c r="I319" s="136"/>
    </row>
    <row r="320">
      <c r="I320" s="136"/>
    </row>
    <row r="321">
      <c r="I321" s="136"/>
    </row>
    <row r="322">
      <c r="I322" s="136"/>
    </row>
    <row r="323">
      <c r="I323" s="136"/>
    </row>
    <row r="324">
      <c r="I324" s="136"/>
    </row>
    <row r="325">
      <c r="I325" s="136"/>
    </row>
    <row r="326">
      <c r="I326" s="136"/>
    </row>
    <row r="327">
      <c r="I327" s="136"/>
    </row>
    <row r="328">
      <c r="I328" s="136"/>
    </row>
    <row r="329">
      <c r="I329" s="136"/>
    </row>
    <row r="330">
      <c r="I330" s="136"/>
    </row>
    <row r="331">
      <c r="I331" s="136"/>
    </row>
    <row r="332">
      <c r="I332" s="136"/>
    </row>
    <row r="333">
      <c r="I333" s="136"/>
    </row>
    <row r="334">
      <c r="I334" s="136"/>
    </row>
    <row r="335">
      <c r="I335" s="136"/>
    </row>
    <row r="336">
      <c r="I336" s="136"/>
    </row>
    <row r="337">
      <c r="I337" s="136"/>
    </row>
    <row r="338">
      <c r="I338" s="136"/>
    </row>
    <row r="339">
      <c r="I339" s="136"/>
    </row>
    <row r="340">
      <c r="I340" s="136"/>
    </row>
    <row r="341">
      <c r="I341" s="136"/>
    </row>
    <row r="342">
      <c r="I342" s="136"/>
    </row>
    <row r="343">
      <c r="I343" s="136"/>
    </row>
    <row r="344">
      <c r="I344" s="136"/>
    </row>
    <row r="345">
      <c r="I345" s="136"/>
    </row>
    <row r="346">
      <c r="I346" s="136"/>
    </row>
    <row r="347">
      <c r="I347" s="136"/>
    </row>
    <row r="348">
      <c r="I348" s="136"/>
    </row>
    <row r="349">
      <c r="I349" s="136"/>
    </row>
    <row r="350">
      <c r="I350" s="136"/>
    </row>
    <row r="351">
      <c r="I351" s="136"/>
    </row>
    <row r="352">
      <c r="I352" s="136"/>
    </row>
    <row r="353">
      <c r="I353" s="136"/>
    </row>
    <row r="354">
      <c r="I354" s="136"/>
    </row>
    <row r="355">
      <c r="I355" s="136"/>
    </row>
    <row r="356">
      <c r="I356" s="136"/>
    </row>
    <row r="357">
      <c r="I357" s="136"/>
    </row>
    <row r="358">
      <c r="I358" s="136"/>
    </row>
    <row r="359">
      <c r="I359" s="136"/>
    </row>
    <row r="360">
      <c r="I360" s="136"/>
    </row>
    <row r="361">
      <c r="I361" s="136"/>
    </row>
    <row r="362">
      <c r="I362" s="136"/>
    </row>
    <row r="363">
      <c r="I363" s="136"/>
    </row>
    <row r="364">
      <c r="I364" s="136"/>
    </row>
    <row r="365">
      <c r="I365" s="136"/>
    </row>
    <row r="366">
      <c r="I366" s="136"/>
    </row>
    <row r="367">
      <c r="I367" s="136"/>
    </row>
    <row r="368">
      <c r="I368" s="136"/>
    </row>
    <row r="369">
      <c r="I369" s="136"/>
    </row>
    <row r="370">
      <c r="I370" s="136"/>
    </row>
    <row r="371">
      <c r="I371" s="136"/>
    </row>
    <row r="372">
      <c r="I372" s="136"/>
    </row>
    <row r="373">
      <c r="I373" s="136"/>
    </row>
    <row r="374">
      <c r="I374" s="136"/>
    </row>
    <row r="375">
      <c r="I375" s="136"/>
    </row>
    <row r="376">
      <c r="I376" s="136"/>
    </row>
    <row r="377">
      <c r="I377" s="136"/>
    </row>
    <row r="378">
      <c r="I378" s="136"/>
    </row>
    <row r="379">
      <c r="I379" s="136"/>
    </row>
    <row r="380">
      <c r="I380" s="136"/>
    </row>
    <row r="381">
      <c r="I381" s="136"/>
    </row>
    <row r="382">
      <c r="I382" s="136"/>
    </row>
    <row r="383">
      <c r="I383" s="136"/>
    </row>
    <row r="384">
      <c r="I384" s="136"/>
    </row>
    <row r="385">
      <c r="I385" s="136"/>
    </row>
    <row r="386">
      <c r="I386" s="136"/>
    </row>
    <row r="387">
      <c r="I387" s="136"/>
    </row>
    <row r="388">
      <c r="I388" s="136"/>
    </row>
    <row r="389">
      <c r="I389" s="136"/>
    </row>
    <row r="390">
      <c r="I390" s="136"/>
    </row>
    <row r="391">
      <c r="I391" s="136"/>
    </row>
    <row r="392">
      <c r="I392" s="136"/>
    </row>
    <row r="393">
      <c r="I393" s="136"/>
    </row>
    <row r="394">
      <c r="I394" s="136"/>
    </row>
    <row r="395">
      <c r="I395" s="136"/>
    </row>
    <row r="396">
      <c r="I396" s="136"/>
    </row>
    <row r="397">
      <c r="I397" s="136"/>
    </row>
    <row r="398">
      <c r="I398" s="136"/>
    </row>
    <row r="399">
      <c r="I399" s="136"/>
    </row>
    <row r="400">
      <c r="I400" s="136"/>
    </row>
    <row r="401">
      <c r="I401" s="136"/>
    </row>
    <row r="402">
      <c r="I402" s="136"/>
    </row>
    <row r="403">
      <c r="I403" s="136"/>
    </row>
    <row r="404">
      <c r="I404" s="136"/>
    </row>
    <row r="405">
      <c r="I405" s="136"/>
    </row>
    <row r="406">
      <c r="I406" s="136"/>
    </row>
    <row r="407">
      <c r="I407" s="136"/>
    </row>
    <row r="408">
      <c r="I408" s="136"/>
    </row>
    <row r="409">
      <c r="I409" s="136"/>
    </row>
    <row r="410">
      <c r="I410" s="136"/>
    </row>
    <row r="411">
      <c r="I411" s="136"/>
    </row>
    <row r="412">
      <c r="I412" s="136"/>
    </row>
    <row r="413">
      <c r="I413" s="136"/>
    </row>
    <row r="414">
      <c r="I414" s="136"/>
    </row>
    <row r="415">
      <c r="I415" s="136"/>
    </row>
    <row r="416">
      <c r="I416" s="136"/>
    </row>
    <row r="417">
      <c r="I417" s="136"/>
    </row>
    <row r="418">
      <c r="I418" s="136"/>
    </row>
    <row r="419">
      <c r="I419" s="136"/>
    </row>
    <row r="420">
      <c r="I420" s="136"/>
    </row>
    <row r="421">
      <c r="I421" s="136"/>
    </row>
    <row r="422">
      <c r="I422" s="136"/>
    </row>
    <row r="423">
      <c r="I423" s="136"/>
    </row>
    <row r="424">
      <c r="I424" s="136"/>
    </row>
    <row r="425">
      <c r="I425" s="136"/>
    </row>
    <row r="426">
      <c r="I426" s="136"/>
    </row>
    <row r="427">
      <c r="I427" s="136"/>
    </row>
    <row r="428">
      <c r="I428" s="136"/>
    </row>
    <row r="429">
      <c r="I429" s="136"/>
    </row>
    <row r="430">
      <c r="I430" s="136"/>
    </row>
    <row r="431">
      <c r="I431" s="136"/>
    </row>
    <row r="432">
      <c r="I432" s="136"/>
    </row>
    <row r="433">
      <c r="I433" s="136"/>
    </row>
    <row r="434">
      <c r="I434" s="136"/>
    </row>
    <row r="435">
      <c r="I435" s="136"/>
    </row>
    <row r="436">
      <c r="I436" s="136"/>
    </row>
    <row r="437">
      <c r="I437" s="136"/>
    </row>
    <row r="438">
      <c r="I438" s="136"/>
    </row>
    <row r="439">
      <c r="I439" s="136"/>
    </row>
    <row r="440">
      <c r="I440" s="136"/>
    </row>
    <row r="441">
      <c r="I441" s="136"/>
    </row>
    <row r="442">
      <c r="I442" s="136"/>
    </row>
    <row r="443">
      <c r="I443" s="136"/>
    </row>
    <row r="444">
      <c r="I444" s="136"/>
    </row>
    <row r="445">
      <c r="I445" s="136"/>
    </row>
    <row r="446">
      <c r="I446" s="136"/>
    </row>
    <row r="447">
      <c r="I447" s="136"/>
    </row>
    <row r="448">
      <c r="I448" s="136"/>
    </row>
    <row r="449">
      <c r="I449" s="136"/>
    </row>
    <row r="450">
      <c r="I450" s="136"/>
    </row>
    <row r="451">
      <c r="I451" s="136"/>
    </row>
    <row r="452">
      <c r="I452" s="136"/>
    </row>
    <row r="453">
      <c r="I453" s="136"/>
    </row>
    <row r="454">
      <c r="I454" s="136"/>
    </row>
    <row r="455">
      <c r="I455" s="136"/>
    </row>
    <row r="456">
      <c r="I456" s="136"/>
    </row>
    <row r="457">
      <c r="I457" s="136"/>
    </row>
    <row r="458">
      <c r="I458" s="136"/>
    </row>
    <row r="459">
      <c r="I459" s="136"/>
    </row>
    <row r="460">
      <c r="I460" s="136"/>
    </row>
    <row r="461">
      <c r="I461" s="136"/>
    </row>
    <row r="462">
      <c r="I462" s="136"/>
    </row>
    <row r="463">
      <c r="I463" s="136"/>
    </row>
    <row r="464">
      <c r="I464" s="136"/>
    </row>
    <row r="465">
      <c r="I465" s="136"/>
    </row>
    <row r="466">
      <c r="I466" s="136"/>
    </row>
    <row r="467">
      <c r="I467" s="136"/>
    </row>
    <row r="468">
      <c r="I468" s="136"/>
    </row>
    <row r="469">
      <c r="I469" s="136"/>
    </row>
    <row r="470">
      <c r="I470" s="136"/>
    </row>
    <row r="471">
      <c r="I471" s="136"/>
    </row>
    <row r="472">
      <c r="I472" s="136"/>
    </row>
    <row r="473">
      <c r="I473" s="136"/>
    </row>
    <row r="474">
      <c r="I474" s="136"/>
    </row>
    <row r="475">
      <c r="I475" s="136"/>
    </row>
    <row r="476">
      <c r="I476" s="136"/>
    </row>
    <row r="477">
      <c r="I477" s="136"/>
    </row>
    <row r="478">
      <c r="I478" s="136"/>
    </row>
    <row r="479">
      <c r="I479" s="136"/>
    </row>
    <row r="480">
      <c r="I480" s="136"/>
    </row>
    <row r="481">
      <c r="I481" s="136"/>
    </row>
    <row r="482">
      <c r="I482" s="136"/>
    </row>
    <row r="483">
      <c r="I483" s="136"/>
    </row>
    <row r="484">
      <c r="I484" s="136"/>
    </row>
    <row r="485">
      <c r="I485" s="136"/>
    </row>
    <row r="486">
      <c r="I486" s="136"/>
    </row>
    <row r="487">
      <c r="I487" s="136"/>
    </row>
    <row r="488">
      <c r="I488" s="136"/>
    </row>
    <row r="489">
      <c r="I489" s="136"/>
    </row>
    <row r="490">
      <c r="I490" s="136"/>
    </row>
    <row r="491">
      <c r="I491" s="136"/>
    </row>
    <row r="492">
      <c r="I492" s="136"/>
    </row>
    <row r="493">
      <c r="I493" s="136"/>
    </row>
    <row r="494">
      <c r="I494" s="136"/>
    </row>
    <row r="495">
      <c r="I495" s="136"/>
    </row>
    <row r="496">
      <c r="I496" s="136"/>
    </row>
    <row r="497">
      <c r="I497" s="136"/>
    </row>
    <row r="498">
      <c r="I498" s="136"/>
    </row>
    <row r="499">
      <c r="I499" s="136"/>
    </row>
    <row r="500">
      <c r="I500" s="136"/>
    </row>
    <row r="501">
      <c r="I501" s="136"/>
    </row>
    <row r="502">
      <c r="I502" s="136"/>
    </row>
    <row r="503">
      <c r="I503" s="136"/>
    </row>
    <row r="504">
      <c r="I504" s="136"/>
    </row>
    <row r="505">
      <c r="I505" s="136"/>
    </row>
    <row r="506">
      <c r="I506" s="136"/>
    </row>
    <row r="507">
      <c r="I507" s="136"/>
    </row>
    <row r="508">
      <c r="I508" s="136"/>
    </row>
    <row r="509">
      <c r="I509" s="136"/>
    </row>
    <row r="510">
      <c r="I510" s="136"/>
    </row>
    <row r="511">
      <c r="I511" s="136"/>
    </row>
    <row r="512">
      <c r="I512" s="136"/>
    </row>
    <row r="513">
      <c r="I513" s="136"/>
    </row>
    <row r="514">
      <c r="I514" s="136"/>
    </row>
    <row r="515">
      <c r="I515" s="136"/>
    </row>
    <row r="516">
      <c r="I516" s="136"/>
    </row>
    <row r="517">
      <c r="I517" s="136"/>
    </row>
    <row r="518">
      <c r="I518" s="136"/>
    </row>
    <row r="519">
      <c r="I519" s="136"/>
    </row>
    <row r="520">
      <c r="I520" s="136"/>
    </row>
    <row r="521">
      <c r="I521" s="136"/>
    </row>
    <row r="522">
      <c r="I522" s="136"/>
    </row>
    <row r="523">
      <c r="I523" s="136"/>
    </row>
    <row r="524">
      <c r="I524" s="136"/>
    </row>
    <row r="525">
      <c r="I525" s="136"/>
    </row>
    <row r="526">
      <c r="I526" s="136"/>
    </row>
    <row r="527">
      <c r="I527" s="136"/>
    </row>
    <row r="528">
      <c r="I528" s="136"/>
    </row>
    <row r="529">
      <c r="I529" s="136"/>
    </row>
    <row r="530">
      <c r="I530" s="136"/>
    </row>
    <row r="531">
      <c r="I531" s="136"/>
    </row>
    <row r="532">
      <c r="I532" s="136"/>
    </row>
    <row r="533">
      <c r="I533" s="136"/>
    </row>
    <row r="534">
      <c r="I534" s="136"/>
    </row>
    <row r="535">
      <c r="I535" s="136"/>
    </row>
    <row r="536">
      <c r="I536" s="136"/>
    </row>
    <row r="537">
      <c r="I537" s="136"/>
    </row>
    <row r="538">
      <c r="I538" s="136"/>
    </row>
    <row r="539">
      <c r="I539" s="136"/>
    </row>
    <row r="540">
      <c r="I540" s="136"/>
    </row>
    <row r="541">
      <c r="I541" s="136"/>
    </row>
    <row r="542">
      <c r="I542" s="136"/>
    </row>
    <row r="543">
      <c r="I543" s="136"/>
    </row>
    <row r="544">
      <c r="I544" s="136"/>
    </row>
    <row r="545">
      <c r="I545" s="136"/>
    </row>
    <row r="546">
      <c r="I546" s="136"/>
    </row>
    <row r="547">
      <c r="I547" s="136"/>
    </row>
    <row r="548">
      <c r="I548" s="136"/>
    </row>
    <row r="549">
      <c r="I549" s="136"/>
    </row>
    <row r="550">
      <c r="I550" s="136"/>
    </row>
    <row r="551">
      <c r="I551" s="136"/>
    </row>
    <row r="552">
      <c r="I552" s="136"/>
    </row>
    <row r="553">
      <c r="I553" s="136"/>
    </row>
    <row r="554">
      <c r="I554" s="136"/>
    </row>
    <row r="555">
      <c r="I555" s="136"/>
    </row>
    <row r="556">
      <c r="I556" s="136"/>
    </row>
    <row r="557">
      <c r="I557" s="136"/>
    </row>
    <row r="558">
      <c r="I558" s="136"/>
    </row>
    <row r="559">
      <c r="I559" s="136"/>
    </row>
    <row r="560">
      <c r="I560" s="136"/>
    </row>
    <row r="561">
      <c r="I561" s="136"/>
    </row>
    <row r="562">
      <c r="I562" s="136"/>
    </row>
    <row r="563">
      <c r="I563" s="136"/>
    </row>
    <row r="564">
      <c r="I564" s="136"/>
    </row>
    <row r="565">
      <c r="I565" s="136"/>
    </row>
    <row r="566">
      <c r="I566" s="136"/>
    </row>
    <row r="567">
      <c r="I567" s="136"/>
    </row>
    <row r="568">
      <c r="I568" s="136"/>
    </row>
    <row r="569">
      <c r="I569" s="136"/>
    </row>
    <row r="570">
      <c r="I570" s="136"/>
    </row>
    <row r="571">
      <c r="I571" s="136"/>
    </row>
    <row r="572">
      <c r="I572" s="136"/>
    </row>
    <row r="573">
      <c r="I573" s="136"/>
    </row>
    <row r="574">
      <c r="I574" s="136"/>
    </row>
    <row r="575">
      <c r="I575" s="136"/>
    </row>
    <row r="576">
      <c r="I576" s="136"/>
    </row>
    <row r="577">
      <c r="I577" s="136"/>
    </row>
    <row r="578">
      <c r="I578" s="136"/>
    </row>
    <row r="579">
      <c r="I579" s="136"/>
    </row>
    <row r="580">
      <c r="I580" s="136"/>
    </row>
    <row r="581">
      <c r="I581" s="136"/>
    </row>
    <row r="582">
      <c r="I582" s="136"/>
    </row>
    <row r="583">
      <c r="I583" s="136"/>
    </row>
    <row r="584">
      <c r="I584" s="136"/>
    </row>
    <row r="585">
      <c r="I585" s="136"/>
    </row>
    <row r="586">
      <c r="I586" s="136"/>
    </row>
    <row r="587">
      <c r="I587" s="136"/>
    </row>
    <row r="588">
      <c r="I588" s="136"/>
    </row>
    <row r="589">
      <c r="I589" s="136"/>
    </row>
    <row r="590">
      <c r="I590" s="136"/>
    </row>
    <row r="591">
      <c r="I591" s="136"/>
    </row>
    <row r="592">
      <c r="I592" s="136"/>
    </row>
    <row r="593">
      <c r="I593" s="136"/>
    </row>
    <row r="594">
      <c r="I594" s="136"/>
    </row>
    <row r="595">
      <c r="I595" s="136"/>
    </row>
    <row r="596">
      <c r="I596" s="136"/>
    </row>
    <row r="597">
      <c r="I597" s="136"/>
    </row>
    <row r="598">
      <c r="I598" s="136"/>
    </row>
    <row r="599">
      <c r="I599" s="136"/>
    </row>
    <row r="600">
      <c r="I600" s="136"/>
    </row>
    <row r="601">
      <c r="I601" s="136"/>
    </row>
    <row r="602">
      <c r="I602" s="136"/>
    </row>
    <row r="603">
      <c r="I603" s="136"/>
    </row>
    <row r="604">
      <c r="I604" s="136"/>
    </row>
    <row r="605">
      <c r="I605" s="136"/>
    </row>
    <row r="606">
      <c r="I606" s="136"/>
    </row>
    <row r="607">
      <c r="I607" s="136"/>
    </row>
    <row r="608">
      <c r="I608" s="136"/>
    </row>
    <row r="609">
      <c r="I609" s="136"/>
    </row>
    <row r="610">
      <c r="I610" s="136"/>
    </row>
    <row r="611">
      <c r="I611" s="136"/>
    </row>
    <row r="612">
      <c r="I612" s="136"/>
    </row>
    <row r="613">
      <c r="I613" s="136"/>
    </row>
    <row r="614">
      <c r="I614" s="136"/>
    </row>
    <row r="615">
      <c r="I615" s="136"/>
    </row>
    <row r="616">
      <c r="I616" s="136"/>
    </row>
    <row r="617">
      <c r="I617" s="136"/>
    </row>
    <row r="618">
      <c r="I618" s="136"/>
    </row>
    <row r="619">
      <c r="I619" s="136"/>
    </row>
    <row r="620">
      <c r="I620" s="136"/>
    </row>
    <row r="621">
      <c r="I621" s="136"/>
    </row>
    <row r="622">
      <c r="I622" s="136"/>
    </row>
    <row r="623">
      <c r="I623" s="136"/>
    </row>
    <row r="624">
      <c r="I624" s="136"/>
    </row>
    <row r="625">
      <c r="I625" s="136"/>
    </row>
    <row r="626">
      <c r="I626" s="136"/>
    </row>
    <row r="627">
      <c r="I627" s="136"/>
    </row>
    <row r="628">
      <c r="I628" s="136"/>
    </row>
    <row r="629">
      <c r="I629" s="136"/>
    </row>
    <row r="630">
      <c r="I630" s="136"/>
    </row>
    <row r="631">
      <c r="I631" s="136"/>
    </row>
    <row r="632">
      <c r="I632" s="136"/>
    </row>
    <row r="633">
      <c r="I633" s="136"/>
    </row>
    <row r="634">
      <c r="I634" s="136"/>
    </row>
    <row r="635">
      <c r="I635" s="136"/>
    </row>
    <row r="636">
      <c r="I636" s="136"/>
    </row>
    <row r="637">
      <c r="I637" s="136"/>
    </row>
    <row r="638">
      <c r="I638" s="136"/>
    </row>
    <row r="639">
      <c r="I639" s="136"/>
    </row>
    <row r="640">
      <c r="I640" s="136"/>
    </row>
    <row r="641">
      <c r="I641" s="136"/>
    </row>
    <row r="642">
      <c r="I642" s="136"/>
    </row>
    <row r="643">
      <c r="I643" s="136"/>
    </row>
    <row r="644">
      <c r="I644" s="136"/>
    </row>
    <row r="645">
      <c r="I645" s="136"/>
    </row>
    <row r="646">
      <c r="I646" s="136"/>
    </row>
    <row r="647">
      <c r="I647" s="136"/>
    </row>
    <row r="648">
      <c r="I648" s="136"/>
    </row>
    <row r="649">
      <c r="I649" s="136"/>
    </row>
    <row r="650">
      <c r="I650" s="136"/>
    </row>
    <row r="651">
      <c r="I651" s="136"/>
    </row>
    <row r="652">
      <c r="I652" s="136"/>
    </row>
    <row r="653">
      <c r="I653" s="136"/>
    </row>
    <row r="654">
      <c r="I654" s="136"/>
    </row>
    <row r="655">
      <c r="I655" s="136"/>
    </row>
    <row r="656">
      <c r="I656" s="136"/>
    </row>
    <row r="657">
      <c r="I657" s="136"/>
    </row>
    <row r="658">
      <c r="I658" s="136"/>
    </row>
    <row r="659">
      <c r="I659" s="136"/>
    </row>
    <row r="660">
      <c r="I660" s="136"/>
    </row>
    <row r="661">
      <c r="I661" s="136"/>
    </row>
    <row r="662">
      <c r="I662" s="136"/>
    </row>
    <row r="663">
      <c r="I663" s="136"/>
    </row>
    <row r="664">
      <c r="I664" s="136"/>
    </row>
    <row r="665">
      <c r="I665" s="136"/>
    </row>
    <row r="666">
      <c r="I666" s="136"/>
    </row>
    <row r="667">
      <c r="I667" s="136"/>
    </row>
    <row r="668">
      <c r="I668" s="136"/>
    </row>
    <row r="669">
      <c r="I669" s="136"/>
    </row>
    <row r="670">
      <c r="I670" s="136"/>
    </row>
    <row r="671">
      <c r="I671" s="136"/>
    </row>
    <row r="672">
      <c r="I672" s="136"/>
    </row>
    <row r="673">
      <c r="I673" s="136"/>
    </row>
    <row r="674">
      <c r="I674" s="136"/>
    </row>
    <row r="675">
      <c r="I675" s="136"/>
    </row>
    <row r="676">
      <c r="I676" s="136"/>
    </row>
    <row r="677">
      <c r="I677" s="136"/>
    </row>
    <row r="678">
      <c r="I678" s="136"/>
    </row>
    <row r="679">
      <c r="I679" s="136"/>
    </row>
    <row r="680">
      <c r="I680" s="136"/>
    </row>
    <row r="681">
      <c r="I681" s="136"/>
    </row>
    <row r="682">
      <c r="I682" s="136"/>
    </row>
    <row r="683">
      <c r="I683" s="136"/>
    </row>
    <row r="684">
      <c r="I684" s="136"/>
    </row>
    <row r="685">
      <c r="I685" s="136"/>
    </row>
    <row r="686">
      <c r="I686" s="136"/>
    </row>
    <row r="687">
      <c r="I687" s="136"/>
    </row>
    <row r="688">
      <c r="I688" s="136"/>
    </row>
    <row r="689">
      <c r="I689" s="136"/>
    </row>
    <row r="690">
      <c r="I690" s="136"/>
    </row>
    <row r="691">
      <c r="I691" s="136"/>
    </row>
    <row r="692">
      <c r="I692" s="136"/>
    </row>
    <row r="693">
      <c r="I693" s="136"/>
    </row>
    <row r="694">
      <c r="I694" s="136"/>
    </row>
    <row r="695">
      <c r="I695" s="136"/>
    </row>
    <row r="696">
      <c r="I696" s="136"/>
    </row>
    <row r="697">
      <c r="I697" s="136"/>
    </row>
    <row r="698">
      <c r="I698" s="136"/>
    </row>
    <row r="699">
      <c r="I699" s="136"/>
    </row>
    <row r="700">
      <c r="I700" s="136"/>
    </row>
    <row r="701">
      <c r="I701" s="136"/>
    </row>
    <row r="702">
      <c r="I702" s="136"/>
    </row>
    <row r="703">
      <c r="I703" s="136"/>
    </row>
    <row r="704">
      <c r="I704" s="136"/>
    </row>
    <row r="705">
      <c r="I705" s="136"/>
    </row>
    <row r="706">
      <c r="I706" s="136"/>
    </row>
    <row r="707">
      <c r="I707" s="136"/>
    </row>
    <row r="708">
      <c r="I708" s="136"/>
    </row>
    <row r="709">
      <c r="I709" s="136"/>
    </row>
    <row r="710">
      <c r="I710" s="136"/>
    </row>
    <row r="711">
      <c r="I711" s="136"/>
    </row>
    <row r="712">
      <c r="I712" s="136"/>
    </row>
    <row r="713">
      <c r="I713" s="136"/>
    </row>
    <row r="714">
      <c r="I714" s="136"/>
    </row>
    <row r="715">
      <c r="I715" s="136"/>
    </row>
    <row r="716">
      <c r="I716" s="136"/>
    </row>
    <row r="717">
      <c r="I717" s="136"/>
    </row>
    <row r="718">
      <c r="I718" s="136"/>
    </row>
    <row r="719">
      <c r="I719" s="136"/>
    </row>
    <row r="720">
      <c r="I720" s="136"/>
    </row>
    <row r="721">
      <c r="I721" s="136"/>
    </row>
    <row r="722">
      <c r="I722" s="136"/>
    </row>
    <row r="723">
      <c r="I723" s="136"/>
    </row>
    <row r="724">
      <c r="I724" s="136"/>
    </row>
    <row r="725">
      <c r="I725" s="136"/>
    </row>
    <row r="726">
      <c r="I726" s="136"/>
    </row>
    <row r="727">
      <c r="I727" s="136"/>
    </row>
    <row r="728">
      <c r="I728" s="136"/>
    </row>
    <row r="729">
      <c r="I729" s="136"/>
    </row>
    <row r="730">
      <c r="I730" s="136"/>
    </row>
    <row r="731">
      <c r="I731" s="136"/>
    </row>
    <row r="732">
      <c r="I732" s="136"/>
    </row>
    <row r="733">
      <c r="I733" s="136"/>
    </row>
    <row r="734">
      <c r="I734" s="136"/>
    </row>
    <row r="735">
      <c r="I735" s="136"/>
    </row>
    <row r="736">
      <c r="I736" s="136"/>
    </row>
    <row r="737">
      <c r="I737" s="136"/>
    </row>
    <row r="738">
      <c r="I738" s="136"/>
    </row>
    <row r="739">
      <c r="I739" s="136"/>
    </row>
    <row r="740">
      <c r="I740" s="136"/>
    </row>
    <row r="741">
      <c r="I741" s="136"/>
    </row>
    <row r="742">
      <c r="I742" s="136"/>
    </row>
    <row r="743">
      <c r="I743" s="136"/>
    </row>
    <row r="744">
      <c r="I744" s="136"/>
    </row>
    <row r="745">
      <c r="I745" s="136"/>
    </row>
    <row r="746">
      <c r="I746" s="136"/>
    </row>
    <row r="747">
      <c r="I747" s="136"/>
    </row>
    <row r="748">
      <c r="I748" s="136"/>
    </row>
    <row r="749">
      <c r="I749" s="136"/>
    </row>
    <row r="750">
      <c r="I750" s="136"/>
    </row>
    <row r="751">
      <c r="I751" s="136"/>
    </row>
    <row r="752">
      <c r="I752" s="136"/>
    </row>
    <row r="753">
      <c r="I753" s="136"/>
    </row>
    <row r="754">
      <c r="I754" s="136"/>
    </row>
    <row r="755">
      <c r="I755" s="136"/>
    </row>
    <row r="756">
      <c r="I756" s="136"/>
    </row>
    <row r="757">
      <c r="I757" s="136"/>
    </row>
    <row r="758">
      <c r="I758" s="136"/>
    </row>
    <row r="759">
      <c r="I759" s="136"/>
    </row>
    <row r="760">
      <c r="I760" s="136"/>
    </row>
    <row r="761">
      <c r="I761" s="136"/>
    </row>
    <row r="762">
      <c r="I762" s="136"/>
    </row>
    <row r="763">
      <c r="I763" s="136"/>
    </row>
    <row r="764">
      <c r="I764" s="136"/>
    </row>
    <row r="765">
      <c r="I765" s="136"/>
    </row>
    <row r="766">
      <c r="I766" s="136"/>
    </row>
    <row r="767">
      <c r="I767" s="136"/>
    </row>
    <row r="768">
      <c r="I768" s="136"/>
    </row>
    <row r="769">
      <c r="I769" s="136"/>
    </row>
    <row r="770">
      <c r="I770" s="136"/>
    </row>
    <row r="771">
      <c r="I771" s="136"/>
    </row>
    <row r="772">
      <c r="I772" s="136"/>
    </row>
    <row r="773">
      <c r="I773" s="136"/>
    </row>
    <row r="774">
      <c r="I774" s="136"/>
    </row>
    <row r="775">
      <c r="I775" s="136"/>
    </row>
    <row r="776">
      <c r="I776" s="136"/>
    </row>
    <row r="777">
      <c r="I777" s="136"/>
    </row>
    <row r="778">
      <c r="I778" s="136"/>
    </row>
    <row r="779">
      <c r="I779" s="136"/>
    </row>
    <row r="780">
      <c r="I780" s="136"/>
    </row>
    <row r="781">
      <c r="I781" s="136"/>
    </row>
    <row r="782">
      <c r="I782" s="136"/>
    </row>
    <row r="783">
      <c r="I783" s="136"/>
    </row>
    <row r="784">
      <c r="I784" s="136"/>
    </row>
    <row r="785">
      <c r="I785" s="136"/>
    </row>
    <row r="786">
      <c r="I786" s="136"/>
    </row>
    <row r="787">
      <c r="I787" s="136"/>
    </row>
    <row r="788">
      <c r="I788" s="136"/>
    </row>
    <row r="789">
      <c r="I789" s="136"/>
    </row>
    <row r="790">
      <c r="I790" s="136"/>
    </row>
    <row r="791">
      <c r="I791" s="136"/>
    </row>
    <row r="792">
      <c r="I792" s="136"/>
    </row>
    <row r="793">
      <c r="I793" s="136"/>
    </row>
    <row r="794">
      <c r="I794" s="136"/>
    </row>
    <row r="795">
      <c r="I795" s="136"/>
    </row>
    <row r="796">
      <c r="I796" s="136"/>
    </row>
    <row r="797">
      <c r="I797" s="136"/>
    </row>
    <row r="798">
      <c r="I798" s="136"/>
    </row>
    <row r="799">
      <c r="I799" s="136"/>
    </row>
    <row r="800">
      <c r="I800" s="136"/>
    </row>
    <row r="801">
      <c r="I801" s="136"/>
    </row>
    <row r="802">
      <c r="I802" s="136"/>
    </row>
    <row r="803">
      <c r="I803" s="136"/>
    </row>
    <row r="804">
      <c r="I804" s="136"/>
    </row>
    <row r="805">
      <c r="I805" s="136"/>
    </row>
    <row r="806">
      <c r="I806" s="136"/>
    </row>
    <row r="807">
      <c r="I807" s="136"/>
    </row>
    <row r="808">
      <c r="I808" s="136"/>
    </row>
    <row r="809">
      <c r="I809" s="136"/>
    </row>
    <row r="810">
      <c r="I810" s="136"/>
    </row>
    <row r="811">
      <c r="I811" s="136"/>
    </row>
    <row r="812">
      <c r="I812" s="136"/>
    </row>
    <row r="813">
      <c r="I813" s="136"/>
    </row>
    <row r="814">
      <c r="I814" s="136"/>
    </row>
    <row r="815">
      <c r="I815" s="136"/>
    </row>
    <row r="816">
      <c r="I816" s="136"/>
    </row>
    <row r="817">
      <c r="I817" s="136"/>
    </row>
    <row r="818">
      <c r="I818" s="136"/>
    </row>
    <row r="819">
      <c r="I819" s="136"/>
    </row>
    <row r="820">
      <c r="I820" s="136"/>
    </row>
    <row r="821">
      <c r="I821" s="136"/>
    </row>
    <row r="822">
      <c r="I822" s="136"/>
    </row>
    <row r="823">
      <c r="I823" s="136"/>
    </row>
    <row r="824">
      <c r="I824" s="136"/>
    </row>
    <row r="825">
      <c r="I825" s="136"/>
    </row>
    <row r="826">
      <c r="I826" s="136"/>
    </row>
    <row r="827">
      <c r="I827" s="136"/>
    </row>
    <row r="828">
      <c r="I828" s="136"/>
    </row>
    <row r="829">
      <c r="I829" s="136"/>
    </row>
    <row r="830">
      <c r="I830" s="136"/>
    </row>
    <row r="831">
      <c r="I831" s="136"/>
    </row>
    <row r="832">
      <c r="I832" s="136"/>
    </row>
    <row r="833">
      <c r="I833" s="136"/>
    </row>
    <row r="834">
      <c r="I834" s="136"/>
    </row>
    <row r="835">
      <c r="I835" s="136"/>
    </row>
    <row r="836">
      <c r="I836" s="136"/>
    </row>
    <row r="837">
      <c r="I837" s="136"/>
    </row>
    <row r="838">
      <c r="I838" s="136"/>
    </row>
    <row r="839">
      <c r="I839" s="136"/>
    </row>
    <row r="840">
      <c r="I840" s="136"/>
    </row>
    <row r="841">
      <c r="I841" s="136"/>
    </row>
    <row r="842">
      <c r="I842" s="136"/>
    </row>
    <row r="843">
      <c r="I843" s="136"/>
    </row>
    <row r="844">
      <c r="I844" s="136"/>
    </row>
    <row r="845">
      <c r="I845" s="136"/>
    </row>
    <row r="846">
      <c r="I846" s="136"/>
    </row>
    <row r="847">
      <c r="I847" s="136"/>
    </row>
    <row r="848">
      <c r="I848" s="136"/>
    </row>
    <row r="849">
      <c r="I849" s="136"/>
    </row>
    <row r="850">
      <c r="I850" s="136"/>
    </row>
    <row r="851">
      <c r="I851" s="136"/>
    </row>
    <row r="852">
      <c r="I852" s="136"/>
    </row>
    <row r="853">
      <c r="I853" s="136"/>
    </row>
    <row r="854">
      <c r="I854" s="136"/>
    </row>
    <row r="855">
      <c r="I855" s="136"/>
    </row>
    <row r="856">
      <c r="I856" s="136"/>
    </row>
    <row r="857">
      <c r="I857" s="136"/>
    </row>
    <row r="858">
      <c r="I858" s="136"/>
    </row>
    <row r="859">
      <c r="I859" s="136"/>
    </row>
    <row r="860">
      <c r="I860" s="136"/>
    </row>
    <row r="861">
      <c r="I861" s="136"/>
    </row>
    <row r="862">
      <c r="I862" s="136"/>
    </row>
    <row r="863">
      <c r="I863" s="136"/>
    </row>
    <row r="864">
      <c r="I864" s="136"/>
    </row>
    <row r="865">
      <c r="I865" s="136"/>
    </row>
    <row r="866">
      <c r="I866" s="136"/>
    </row>
    <row r="867">
      <c r="I867" s="136"/>
    </row>
    <row r="868">
      <c r="I868" s="136"/>
    </row>
    <row r="869">
      <c r="I869" s="136"/>
    </row>
    <row r="870">
      <c r="I870" s="136"/>
    </row>
    <row r="871">
      <c r="I871" s="136"/>
    </row>
    <row r="872">
      <c r="I872" s="136"/>
    </row>
    <row r="873">
      <c r="I873" s="136"/>
    </row>
    <row r="874">
      <c r="I874" s="136"/>
    </row>
    <row r="875">
      <c r="I875" s="136"/>
    </row>
    <row r="876">
      <c r="I876" s="136"/>
    </row>
    <row r="877">
      <c r="I877" s="136"/>
    </row>
    <row r="878">
      <c r="I878" s="136"/>
    </row>
    <row r="879">
      <c r="I879" s="136"/>
    </row>
    <row r="880">
      <c r="I880" s="136"/>
    </row>
    <row r="881">
      <c r="I881" s="136"/>
    </row>
    <row r="882">
      <c r="I882" s="136"/>
    </row>
    <row r="883">
      <c r="I883" s="136"/>
    </row>
    <row r="884">
      <c r="I884" s="136"/>
    </row>
    <row r="885">
      <c r="I885" s="136"/>
    </row>
    <row r="886">
      <c r="I886" s="136"/>
    </row>
    <row r="887">
      <c r="I887" s="136"/>
    </row>
    <row r="888">
      <c r="I888" s="136"/>
    </row>
    <row r="889">
      <c r="I889" s="136"/>
    </row>
    <row r="890">
      <c r="I890" s="136"/>
    </row>
    <row r="891">
      <c r="I891" s="136"/>
    </row>
    <row r="892">
      <c r="I892" s="136"/>
    </row>
    <row r="893">
      <c r="I893" s="136"/>
    </row>
    <row r="894">
      <c r="I894" s="136"/>
    </row>
    <row r="895">
      <c r="I895" s="136"/>
    </row>
    <row r="896">
      <c r="I896" s="136"/>
    </row>
    <row r="897">
      <c r="I897" s="136"/>
    </row>
    <row r="898">
      <c r="I898" s="136"/>
    </row>
    <row r="899">
      <c r="I899" s="136"/>
    </row>
    <row r="900">
      <c r="I900" s="136"/>
    </row>
    <row r="901">
      <c r="I901" s="136"/>
    </row>
    <row r="902">
      <c r="I902" s="136"/>
    </row>
    <row r="903">
      <c r="I903" s="136"/>
    </row>
    <row r="904">
      <c r="I904" s="136"/>
    </row>
    <row r="905">
      <c r="I905" s="136"/>
    </row>
    <row r="906">
      <c r="I906" s="136"/>
    </row>
    <row r="907">
      <c r="I907" s="136"/>
    </row>
    <row r="908">
      <c r="I908" s="136"/>
    </row>
    <row r="909">
      <c r="I909" s="136"/>
    </row>
    <row r="910">
      <c r="I910" s="136"/>
    </row>
    <row r="911">
      <c r="I911" s="136"/>
    </row>
    <row r="912">
      <c r="I912" s="136"/>
    </row>
    <row r="913">
      <c r="I913" s="136"/>
    </row>
    <row r="914">
      <c r="I914" s="136"/>
    </row>
    <row r="915">
      <c r="I915" s="136"/>
    </row>
    <row r="916">
      <c r="I916" s="136"/>
    </row>
    <row r="917">
      <c r="I917" s="136"/>
    </row>
    <row r="918">
      <c r="I918" s="136"/>
    </row>
    <row r="919">
      <c r="I919" s="136"/>
    </row>
    <row r="920">
      <c r="I920" s="136"/>
    </row>
    <row r="921">
      <c r="I921" s="136"/>
    </row>
    <row r="922">
      <c r="I922" s="136"/>
    </row>
    <row r="923">
      <c r="I923" s="136"/>
    </row>
    <row r="924">
      <c r="I924" s="136"/>
    </row>
    <row r="925">
      <c r="I925" s="136"/>
    </row>
    <row r="926">
      <c r="I926" s="136"/>
    </row>
    <row r="927">
      <c r="I927" s="136"/>
    </row>
    <row r="928">
      <c r="I928" s="136"/>
    </row>
    <row r="929">
      <c r="I929" s="136"/>
    </row>
    <row r="930">
      <c r="I930" s="136"/>
    </row>
    <row r="931">
      <c r="I931" s="136"/>
    </row>
    <row r="932">
      <c r="I932" s="136"/>
    </row>
    <row r="933">
      <c r="I933" s="136"/>
    </row>
    <row r="934">
      <c r="I934" s="136"/>
    </row>
    <row r="935">
      <c r="I935" s="136"/>
    </row>
    <row r="936">
      <c r="I936" s="136"/>
    </row>
    <row r="937">
      <c r="I937" s="136"/>
    </row>
    <row r="938">
      <c r="I938" s="136"/>
    </row>
    <row r="939">
      <c r="I939" s="136"/>
    </row>
    <row r="940">
      <c r="I940" s="136"/>
    </row>
    <row r="941">
      <c r="I941" s="136"/>
    </row>
    <row r="942">
      <c r="I942" s="136"/>
    </row>
    <row r="943">
      <c r="I943" s="136"/>
    </row>
    <row r="944">
      <c r="I944" s="136"/>
    </row>
    <row r="945">
      <c r="I945" s="136"/>
    </row>
    <row r="946">
      <c r="I946" s="136"/>
    </row>
    <row r="947">
      <c r="I947" s="136"/>
    </row>
    <row r="948">
      <c r="I948" s="136"/>
    </row>
    <row r="949">
      <c r="I949" s="136"/>
    </row>
    <row r="950">
      <c r="I950" s="136"/>
    </row>
    <row r="951">
      <c r="I951" s="136"/>
    </row>
    <row r="952">
      <c r="I952" s="136"/>
    </row>
    <row r="953">
      <c r="I953" s="136"/>
    </row>
    <row r="954">
      <c r="I954" s="136"/>
    </row>
    <row r="955">
      <c r="I955" s="136"/>
    </row>
    <row r="956">
      <c r="I956" s="136"/>
    </row>
    <row r="957">
      <c r="I957" s="136"/>
    </row>
    <row r="958">
      <c r="I958" s="136"/>
    </row>
    <row r="959">
      <c r="I959" s="136"/>
    </row>
    <row r="960">
      <c r="I960" s="136"/>
    </row>
    <row r="961">
      <c r="I961" s="136"/>
    </row>
    <row r="962">
      <c r="I962" s="136"/>
    </row>
    <row r="963">
      <c r="I963" s="136"/>
    </row>
    <row r="964">
      <c r="I964" s="136"/>
    </row>
    <row r="965">
      <c r="I965" s="136"/>
    </row>
    <row r="966">
      <c r="I966" s="136"/>
    </row>
    <row r="967">
      <c r="I967" s="136"/>
    </row>
    <row r="968">
      <c r="I968" s="136"/>
    </row>
    <row r="969">
      <c r="I969" s="136"/>
    </row>
    <row r="970">
      <c r="I970" s="136"/>
    </row>
    <row r="971">
      <c r="I971" s="136"/>
    </row>
    <row r="972">
      <c r="I972" s="136"/>
    </row>
    <row r="973">
      <c r="I973" s="136"/>
    </row>
    <row r="974">
      <c r="I974" s="136"/>
    </row>
    <row r="975">
      <c r="I975" s="136"/>
    </row>
    <row r="976">
      <c r="I976" s="136"/>
    </row>
    <row r="977">
      <c r="I977" s="136"/>
    </row>
    <row r="978">
      <c r="I978" s="136"/>
    </row>
    <row r="979">
      <c r="I979" s="136"/>
    </row>
    <row r="980">
      <c r="I980" s="136"/>
    </row>
    <row r="981">
      <c r="I981" s="136"/>
    </row>
    <row r="982">
      <c r="I982" s="136"/>
    </row>
    <row r="983">
      <c r="I983" s="136"/>
    </row>
    <row r="984">
      <c r="I984" s="136"/>
    </row>
    <row r="985">
      <c r="I985" s="136"/>
    </row>
    <row r="986">
      <c r="I986" s="136"/>
    </row>
    <row r="987">
      <c r="I987" s="136"/>
    </row>
    <row r="988">
      <c r="I988" s="136"/>
    </row>
    <row r="989">
      <c r="I989" s="1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1.63"/>
    <col customWidth="1" min="3" max="3" width="40.0"/>
    <col customWidth="1" min="4" max="4" width="26.63"/>
    <col customWidth="1" min="5" max="5" width="36.25"/>
    <col customWidth="1" min="6" max="6" width="11.25"/>
    <col customWidth="1" min="7" max="7" width="7.38"/>
  </cols>
  <sheetData>
    <row r="1">
      <c r="A1" s="137" t="s">
        <v>1078</v>
      </c>
      <c r="B1" s="137" t="s">
        <v>1079</v>
      </c>
      <c r="C1" s="137" t="s">
        <v>1080</v>
      </c>
      <c r="D1" s="137" t="s">
        <v>1081</v>
      </c>
      <c r="E1" s="137" t="s">
        <v>1082</v>
      </c>
      <c r="F1" s="137" t="s">
        <v>1083</v>
      </c>
      <c r="G1" s="137" t="s">
        <v>1084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139" t="s">
        <v>314</v>
      </c>
      <c r="B2" s="61" t="s">
        <v>1085</v>
      </c>
      <c r="C2" s="139" t="s">
        <v>1086</v>
      </c>
      <c r="D2" s="139" t="s">
        <v>1087</v>
      </c>
      <c r="E2" s="140" t="s">
        <v>1088</v>
      </c>
      <c r="F2" s="141">
        <v>45982.0</v>
      </c>
      <c r="G2" s="142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43" t="s">
        <v>1089</v>
      </c>
      <c r="B3" s="143" t="s">
        <v>1090</v>
      </c>
      <c r="C3" s="144" t="s">
        <v>1091</v>
      </c>
      <c r="D3" s="143" t="s">
        <v>1092</v>
      </c>
      <c r="E3" s="145" t="s">
        <v>1093</v>
      </c>
      <c r="F3" s="146">
        <v>45994.0</v>
      </c>
      <c r="G3" s="142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43" t="s">
        <v>314</v>
      </c>
      <c r="B4" s="143" t="s">
        <v>1085</v>
      </c>
      <c r="C4" s="144" t="s">
        <v>1086</v>
      </c>
      <c r="D4" s="143" t="s">
        <v>1087</v>
      </c>
      <c r="E4" s="147"/>
      <c r="F4" s="146">
        <v>45981.0</v>
      </c>
      <c r="G4" s="142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A5" s="143" t="s">
        <v>1094</v>
      </c>
      <c r="B5" s="143" t="s">
        <v>1090</v>
      </c>
      <c r="C5" s="144" t="s">
        <v>1095</v>
      </c>
      <c r="D5" s="143" t="s">
        <v>1087</v>
      </c>
      <c r="E5" s="145" t="s">
        <v>1093</v>
      </c>
      <c r="F5" s="146">
        <v>45918.0</v>
      </c>
      <c r="G5" s="142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43" t="s">
        <v>308</v>
      </c>
      <c r="B6" s="143" t="s">
        <v>1090</v>
      </c>
      <c r="C6" s="144" t="s">
        <v>1096</v>
      </c>
      <c r="D6" s="143" t="s">
        <v>1097</v>
      </c>
      <c r="E6" s="145" t="s">
        <v>1093</v>
      </c>
      <c r="F6" s="146">
        <v>45944.0</v>
      </c>
      <c r="G6" s="142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143" t="s">
        <v>305</v>
      </c>
      <c r="B7" s="143" t="s">
        <v>1090</v>
      </c>
      <c r="C7" s="144" t="s">
        <v>1098</v>
      </c>
      <c r="D7" s="143" t="s">
        <v>1087</v>
      </c>
      <c r="E7" s="145" t="s">
        <v>1093</v>
      </c>
      <c r="F7" s="146">
        <v>45972.0</v>
      </c>
      <c r="G7" s="142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143" t="s">
        <v>293</v>
      </c>
      <c r="B8" s="143" t="s">
        <v>1090</v>
      </c>
      <c r="C8" s="144" t="s">
        <v>1099</v>
      </c>
      <c r="D8" s="143" t="s">
        <v>1087</v>
      </c>
      <c r="E8" s="145" t="s">
        <v>1093</v>
      </c>
      <c r="F8" s="146">
        <v>45975.0</v>
      </c>
      <c r="G8" s="142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43" t="s">
        <v>271</v>
      </c>
      <c r="B9" s="143" t="s">
        <v>1100</v>
      </c>
      <c r="C9" s="144" t="s">
        <v>1101</v>
      </c>
      <c r="D9" s="143" t="s">
        <v>1087</v>
      </c>
      <c r="E9" s="147"/>
      <c r="F9" s="146">
        <v>45902.0</v>
      </c>
      <c r="G9" s="142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143" t="s">
        <v>269</v>
      </c>
      <c r="B10" s="143" t="s">
        <v>1090</v>
      </c>
      <c r="C10" s="144" t="s">
        <v>1102</v>
      </c>
      <c r="D10" s="143" t="s">
        <v>1087</v>
      </c>
      <c r="E10" s="145" t="s">
        <v>1093</v>
      </c>
      <c r="F10" s="146">
        <v>45960.0</v>
      </c>
      <c r="G10" s="142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43" t="s">
        <v>229</v>
      </c>
      <c r="B11" s="143" t="s">
        <v>1090</v>
      </c>
      <c r="C11" s="144" t="s">
        <v>1103</v>
      </c>
      <c r="D11" s="143" t="s">
        <v>1104</v>
      </c>
      <c r="E11" s="145" t="s">
        <v>1093</v>
      </c>
      <c r="F11" s="146">
        <v>45887.0</v>
      </c>
      <c r="G11" s="142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A12" s="143" t="s">
        <v>1105</v>
      </c>
      <c r="B12" s="143" t="s">
        <v>1085</v>
      </c>
      <c r="C12" s="144" t="s">
        <v>1106</v>
      </c>
      <c r="D12" s="143" t="s">
        <v>1107</v>
      </c>
      <c r="E12" s="140" t="s">
        <v>1088</v>
      </c>
      <c r="F12" s="146">
        <v>45992.0</v>
      </c>
      <c r="G12" s="142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A13" s="143" t="s">
        <v>1105</v>
      </c>
      <c r="B13" s="143" t="s">
        <v>1108</v>
      </c>
      <c r="C13" s="143" t="s">
        <v>1109</v>
      </c>
      <c r="D13" s="143" t="s">
        <v>1087</v>
      </c>
      <c r="E13" s="145" t="s">
        <v>1110</v>
      </c>
      <c r="F13" s="146">
        <v>45992.0</v>
      </c>
      <c r="G13" s="142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A14" s="143" t="s">
        <v>193</v>
      </c>
      <c r="B14" s="143"/>
      <c r="C14" s="144" t="s">
        <v>1111</v>
      </c>
      <c r="D14" s="143" t="s">
        <v>1087</v>
      </c>
      <c r="E14" s="148"/>
      <c r="F14" s="146">
        <v>45992.0</v>
      </c>
      <c r="G14" s="142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A15" s="143" t="s">
        <v>1112</v>
      </c>
      <c r="B15" s="143"/>
      <c r="C15" s="144" t="s">
        <v>1113</v>
      </c>
      <c r="D15" s="143" t="s">
        <v>1114</v>
      </c>
      <c r="E15" s="140" t="s">
        <v>1088</v>
      </c>
      <c r="F15" s="146">
        <v>45992.0</v>
      </c>
      <c r="G15" s="142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A16" s="143" t="s">
        <v>518</v>
      </c>
      <c r="B16" s="143" t="s">
        <v>1090</v>
      </c>
      <c r="C16" s="144" t="s">
        <v>1115</v>
      </c>
      <c r="D16" s="143" t="s">
        <v>1116</v>
      </c>
      <c r="E16" s="145" t="s">
        <v>1093</v>
      </c>
      <c r="F16" s="149"/>
      <c r="G16" s="142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43" t="s">
        <v>1117</v>
      </c>
      <c r="B17" s="143" t="s">
        <v>1090</v>
      </c>
      <c r="C17" s="144" t="s">
        <v>1118</v>
      </c>
      <c r="D17" s="143" t="s">
        <v>1087</v>
      </c>
      <c r="E17" s="145" t="s">
        <v>1093</v>
      </c>
      <c r="F17" s="149"/>
      <c r="G17" s="142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A18" s="143" t="s">
        <v>1105</v>
      </c>
      <c r="B18" s="143" t="s">
        <v>1090</v>
      </c>
      <c r="C18" s="144" t="s">
        <v>1119</v>
      </c>
      <c r="D18" s="143" t="s">
        <v>1120</v>
      </c>
      <c r="E18" s="145" t="s">
        <v>1093</v>
      </c>
      <c r="F18" s="142"/>
      <c r="G18" s="142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A19" s="143" t="s">
        <v>70</v>
      </c>
      <c r="B19" s="143" t="s">
        <v>1085</v>
      </c>
      <c r="C19" s="144" t="s">
        <v>1121</v>
      </c>
      <c r="D19" s="143" t="s">
        <v>1122</v>
      </c>
      <c r="E19" s="140" t="s">
        <v>1088</v>
      </c>
      <c r="F19" s="142"/>
      <c r="G19" s="142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A20" s="143" t="s">
        <v>525</v>
      </c>
      <c r="B20" s="143" t="s">
        <v>1090</v>
      </c>
      <c r="C20" s="144" t="s">
        <v>1123</v>
      </c>
      <c r="D20" s="143" t="s">
        <v>1087</v>
      </c>
      <c r="E20" s="145" t="s">
        <v>1093</v>
      </c>
      <c r="F20" s="142"/>
      <c r="G20" s="142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A21" s="143" t="s">
        <v>1124</v>
      </c>
      <c r="B21" s="143" t="s">
        <v>1090</v>
      </c>
      <c r="C21" s="144" t="s">
        <v>1125</v>
      </c>
      <c r="D21" s="143" t="s">
        <v>1087</v>
      </c>
      <c r="E21" s="145" t="s">
        <v>1093</v>
      </c>
      <c r="F21" s="149"/>
      <c r="G21" s="142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A22" s="143" t="s">
        <v>1126</v>
      </c>
      <c r="B22" s="143" t="s">
        <v>1085</v>
      </c>
      <c r="C22" s="143" t="s">
        <v>1127</v>
      </c>
      <c r="D22" s="143" t="s">
        <v>1087</v>
      </c>
      <c r="E22" s="145" t="s">
        <v>1088</v>
      </c>
      <c r="F22" s="142"/>
      <c r="G22" s="142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A23" s="143" t="s">
        <v>53</v>
      </c>
      <c r="B23" s="143" t="s">
        <v>1128</v>
      </c>
      <c r="C23" s="144" t="s">
        <v>1129</v>
      </c>
      <c r="D23" s="143" t="s">
        <v>1087</v>
      </c>
      <c r="E23" s="148"/>
      <c r="F23" s="142"/>
      <c r="G23" s="142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A24" s="143" t="s">
        <v>283</v>
      </c>
      <c r="B24" s="143"/>
      <c r="C24" s="144" t="s">
        <v>1130</v>
      </c>
      <c r="D24" s="143" t="s">
        <v>1087</v>
      </c>
      <c r="E24" s="148"/>
      <c r="F24" s="142"/>
      <c r="G24" s="142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A25" s="143" t="s">
        <v>1131</v>
      </c>
      <c r="B25" s="143" t="s">
        <v>1090</v>
      </c>
      <c r="C25" s="144" t="s">
        <v>1132</v>
      </c>
      <c r="D25" s="143" t="s">
        <v>1087</v>
      </c>
      <c r="E25" s="145" t="s">
        <v>1093</v>
      </c>
      <c r="F25" s="142"/>
      <c r="G25" s="142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A26" s="143" t="s">
        <v>305</v>
      </c>
      <c r="B26" s="143" t="s">
        <v>1090</v>
      </c>
      <c r="C26" s="144" t="s">
        <v>1133</v>
      </c>
      <c r="D26" s="143" t="s">
        <v>1087</v>
      </c>
      <c r="E26" s="145" t="s">
        <v>1093</v>
      </c>
      <c r="F26" s="149"/>
      <c r="G26" s="142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A27" s="143" t="s">
        <v>220</v>
      </c>
      <c r="B27" s="143" t="s">
        <v>1090</v>
      </c>
      <c r="C27" s="144" t="s">
        <v>1134</v>
      </c>
      <c r="D27" s="143" t="s">
        <v>1135</v>
      </c>
      <c r="E27" s="145" t="s">
        <v>1093</v>
      </c>
      <c r="F27" s="142"/>
      <c r="G27" s="142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43" t="s">
        <v>51</v>
      </c>
      <c r="B28" s="143" t="s">
        <v>1108</v>
      </c>
      <c r="C28" s="143" t="s">
        <v>1136</v>
      </c>
      <c r="D28" s="143" t="s">
        <v>1137</v>
      </c>
      <c r="E28" s="145" t="s">
        <v>1110</v>
      </c>
      <c r="F28" s="142"/>
      <c r="G28" s="142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A29" s="143" t="s">
        <v>535</v>
      </c>
      <c r="B29" s="143" t="s">
        <v>1100</v>
      </c>
      <c r="C29" s="144" t="s">
        <v>1138</v>
      </c>
      <c r="D29" s="143" t="s">
        <v>1139</v>
      </c>
      <c r="E29" s="148"/>
      <c r="F29" s="149"/>
      <c r="G29" s="142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A30" s="143" t="s">
        <v>308</v>
      </c>
      <c r="B30" s="143" t="s">
        <v>1090</v>
      </c>
      <c r="C30" s="144" t="s">
        <v>1140</v>
      </c>
      <c r="D30" s="143" t="s">
        <v>1141</v>
      </c>
      <c r="E30" s="145" t="s">
        <v>1093</v>
      </c>
      <c r="F30" s="149"/>
      <c r="G30" s="142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A31" s="143" t="s">
        <v>188</v>
      </c>
      <c r="B31" s="143" t="s">
        <v>1090</v>
      </c>
      <c r="C31" s="144" t="s">
        <v>1142</v>
      </c>
      <c r="D31" s="143" t="s">
        <v>1143</v>
      </c>
      <c r="E31" s="145" t="s">
        <v>1093</v>
      </c>
      <c r="F31" s="149"/>
      <c r="G31" s="142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A32" s="143" t="s">
        <v>330</v>
      </c>
      <c r="B32" s="143" t="s">
        <v>1108</v>
      </c>
      <c r="C32" s="143" t="s">
        <v>1144</v>
      </c>
      <c r="D32" s="143" t="s">
        <v>1087</v>
      </c>
      <c r="E32" s="145" t="s">
        <v>1110</v>
      </c>
      <c r="F32" s="146">
        <v>45997.0</v>
      </c>
      <c r="G32" s="142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A33" s="143" t="s">
        <v>977</v>
      </c>
      <c r="B33" s="143" t="s">
        <v>1108</v>
      </c>
      <c r="C33" s="143" t="s">
        <v>1145</v>
      </c>
      <c r="D33" s="143" t="s">
        <v>1087</v>
      </c>
      <c r="E33" s="145" t="s">
        <v>1110</v>
      </c>
      <c r="F33" s="146">
        <v>46006.0</v>
      </c>
      <c r="G33" s="142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A34" s="143" t="s">
        <v>338</v>
      </c>
      <c r="B34" s="143"/>
      <c r="C34" s="144" t="s">
        <v>1146</v>
      </c>
      <c r="D34" s="143" t="s">
        <v>1087</v>
      </c>
      <c r="E34" s="150"/>
      <c r="F34" s="146">
        <v>46015.0</v>
      </c>
      <c r="G34" s="142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A35" s="143" t="s">
        <v>345</v>
      </c>
      <c r="B35" s="143" t="s">
        <v>1085</v>
      </c>
      <c r="C35" s="144" t="s">
        <v>1147</v>
      </c>
      <c r="D35" s="143" t="s">
        <v>1087</v>
      </c>
      <c r="E35" s="140" t="s">
        <v>1088</v>
      </c>
      <c r="F35" s="146">
        <v>46026.0</v>
      </c>
      <c r="G35" s="142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A36" s="143" t="s">
        <v>1148</v>
      </c>
      <c r="B36" s="143" t="s">
        <v>1149</v>
      </c>
      <c r="C36" s="151" t="s">
        <v>1150</v>
      </c>
      <c r="D36" s="143" t="s">
        <v>1151</v>
      </c>
      <c r="E36" s="150"/>
      <c r="F36" s="146">
        <v>46013.0</v>
      </c>
      <c r="G36" s="142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A37" s="143" t="s">
        <v>355</v>
      </c>
      <c r="B37" s="143" t="s">
        <v>1090</v>
      </c>
      <c r="C37" s="144" t="s">
        <v>1152</v>
      </c>
      <c r="D37" s="143" t="s">
        <v>1087</v>
      </c>
      <c r="E37" s="145" t="s">
        <v>1093</v>
      </c>
      <c r="F37" s="146">
        <v>46032.0</v>
      </c>
      <c r="G37" s="142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A38" s="143" t="s">
        <v>262</v>
      </c>
      <c r="B38" s="143"/>
      <c r="C38" s="144" t="s">
        <v>1153</v>
      </c>
      <c r="D38" s="143" t="s">
        <v>1087</v>
      </c>
      <c r="E38" s="150"/>
      <c r="F38" s="146">
        <v>45828.0</v>
      </c>
      <c r="G38" s="142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A39" s="143" t="s">
        <v>186</v>
      </c>
      <c r="B39" s="143" t="s">
        <v>1090</v>
      </c>
      <c r="C39" s="144" t="s">
        <v>1154</v>
      </c>
      <c r="D39" s="143" t="s">
        <v>1116</v>
      </c>
      <c r="E39" s="145" t="s">
        <v>1093</v>
      </c>
      <c r="F39" s="146">
        <v>45969.0</v>
      </c>
      <c r="G39" s="142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A40" s="143" t="s">
        <v>361</v>
      </c>
      <c r="B40" s="143"/>
      <c r="C40" s="144" t="s">
        <v>1155</v>
      </c>
      <c r="D40" s="143" t="s">
        <v>1087</v>
      </c>
      <c r="E40" s="150"/>
      <c r="F40" s="146">
        <v>46045.0</v>
      </c>
      <c r="G40" s="142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A41" s="143" t="s">
        <v>1156</v>
      </c>
      <c r="B41" s="143" t="s">
        <v>1128</v>
      </c>
      <c r="C41" s="144" t="s">
        <v>1157</v>
      </c>
      <c r="D41" s="143" t="s">
        <v>1087</v>
      </c>
      <c r="E41" s="150"/>
      <c r="F41" s="146">
        <v>46049.0</v>
      </c>
      <c r="G41" s="142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A42" s="143" t="s">
        <v>1158</v>
      </c>
      <c r="B42" s="143" t="s">
        <v>1159</v>
      </c>
      <c r="C42" s="143" t="s">
        <v>1160</v>
      </c>
      <c r="D42" s="143" t="s">
        <v>1116</v>
      </c>
      <c r="E42" s="152" t="s">
        <v>1161</v>
      </c>
      <c r="F42" s="146">
        <v>45965.0</v>
      </c>
      <c r="G42" s="142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A43" s="143" t="s">
        <v>317</v>
      </c>
      <c r="B43" s="143"/>
      <c r="C43" s="144" t="s">
        <v>1162</v>
      </c>
      <c r="D43" s="143" t="s">
        <v>1087</v>
      </c>
      <c r="E43" s="150"/>
      <c r="F43" s="146">
        <v>46063.0</v>
      </c>
      <c r="G43" s="142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A44" s="143" t="s">
        <v>1163</v>
      </c>
      <c r="B44" s="143" t="s">
        <v>1090</v>
      </c>
      <c r="C44" s="144" t="s">
        <v>1164</v>
      </c>
      <c r="D44" s="143" t="s">
        <v>1116</v>
      </c>
      <c r="E44" s="145" t="s">
        <v>1093</v>
      </c>
      <c r="F44" s="146">
        <v>46072.0</v>
      </c>
      <c r="G44" s="142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A45" s="143" t="s">
        <v>1165</v>
      </c>
      <c r="B45" s="143" t="s">
        <v>1108</v>
      </c>
      <c r="C45" s="143" t="s">
        <v>1166</v>
      </c>
      <c r="D45" s="143" t="s">
        <v>1087</v>
      </c>
      <c r="E45" s="145" t="s">
        <v>1110</v>
      </c>
      <c r="F45" s="146">
        <v>45399.0</v>
      </c>
      <c r="G45" s="142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A46" s="143" t="s">
        <v>1167</v>
      </c>
      <c r="B46" s="143" t="s">
        <v>1128</v>
      </c>
      <c r="C46" s="144" t="s">
        <v>1168</v>
      </c>
      <c r="D46" s="143" t="s">
        <v>1169</v>
      </c>
      <c r="E46" s="150"/>
      <c r="F46" s="146">
        <v>46073.0</v>
      </c>
      <c r="G46" s="142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43" t="s">
        <v>1170</v>
      </c>
      <c r="B47" s="143" t="s">
        <v>1159</v>
      </c>
      <c r="C47" s="143" t="s">
        <v>1171</v>
      </c>
      <c r="D47" s="143" t="s">
        <v>1116</v>
      </c>
      <c r="E47" s="145" t="s">
        <v>1161</v>
      </c>
      <c r="F47" s="146">
        <v>46073.0</v>
      </c>
      <c r="G47" s="142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A48" s="143" t="s">
        <v>1172</v>
      </c>
      <c r="B48" s="143" t="s">
        <v>1128</v>
      </c>
      <c r="C48" s="144" t="s">
        <v>1173</v>
      </c>
      <c r="D48" s="143" t="s">
        <v>1174</v>
      </c>
      <c r="E48" s="150"/>
      <c r="F48" s="146">
        <v>46083.0</v>
      </c>
      <c r="G48" s="142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43" t="s">
        <v>181</v>
      </c>
      <c r="B49" s="143"/>
      <c r="C49" s="144" t="s">
        <v>1175</v>
      </c>
      <c r="D49" s="143" t="s">
        <v>1087</v>
      </c>
      <c r="E49" s="150"/>
      <c r="F49" s="146">
        <v>46084.0</v>
      </c>
      <c r="G49" s="142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A50" s="143" t="s">
        <v>231</v>
      </c>
      <c r="B50" s="143" t="s">
        <v>1090</v>
      </c>
      <c r="C50" s="144" t="s">
        <v>1176</v>
      </c>
      <c r="D50" s="143" t="s">
        <v>1116</v>
      </c>
      <c r="E50" s="145" t="s">
        <v>1093</v>
      </c>
      <c r="F50" s="146">
        <v>46086.0</v>
      </c>
      <c r="G50" s="142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A51" s="143" t="s">
        <v>251</v>
      </c>
      <c r="B51" s="143" t="s">
        <v>1090</v>
      </c>
      <c r="C51" s="144" t="s">
        <v>1177</v>
      </c>
      <c r="D51" s="143" t="s">
        <v>1116</v>
      </c>
      <c r="E51" s="145" t="s">
        <v>1093</v>
      </c>
      <c r="F51" s="146">
        <v>45807.0</v>
      </c>
      <c r="G51" s="142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43" t="s">
        <v>382</v>
      </c>
      <c r="B52" s="143" t="s">
        <v>885</v>
      </c>
      <c r="C52" s="143" t="s">
        <v>1178</v>
      </c>
      <c r="D52" s="143" t="s">
        <v>1179</v>
      </c>
      <c r="E52" s="145" t="s">
        <v>1180</v>
      </c>
      <c r="F52" s="146">
        <v>46106.0</v>
      </c>
      <c r="G52" s="142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A53" s="143" t="s">
        <v>376</v>
      </c>
      <c r="B53" s="143" t="s">
        <v>1090</v>
      </c>
      <c r="C53" s="144" t="s">
        <v>1181</v>
      </c>
      <c r="D53" s="143" t="s">
        <v>1087</v>
      </c>
      <c r="E53" s="145" t="s">
        <v>1093</v>
      </c>
      <c r="F53" s="146">
        <v>47205.0</v>
      </c>
      <c r="G53" s="142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A54" s="143" t="s">
        <v>384</v>
      </c>
      <c r="B54" s="143" t="s">
        <v>1090</v>
      </c>
      <c r="C54" s="144" t="s">
        <v>1182</v>
      </c>
      <c r="D54" s="143" t="s">
        <v>1087</v>
      </c>
      <c r="E54" s="145" t="s">
        <v>1093</v>
      </c>
      <c r="F54" s="146">
        <v>46114.0</v>
      </c>
      <c r="G54" s="142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A55" s="143" t="s">
        <v>307</v>
      </c>
      <c r="B55" s="143" t="s">
        <v>1090</v>
      </c>
      <c r="C55" s="144" t="s">
        <v>1183</v>
      </c>
      <c r="D55" s="143" t="s">
        <v>1116</v>
      </c>
      <c r="E55" s="145" t="s">
        <v>1093</v>
      </c>
      <c r="F55" s="146">
        <v>46130.0</v>
      </c>
      <c r="G55" s="142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A56" s="143" t="s">
        <v>1184</v>
      </c>
      <c r="B56" s="143" t="s">
        <v>885</v>
      </c>
      <c r="C56" s="143" t="s">
        <v>1185</v>
      </c>
      <c r="D56" s="143" t="s">
        <v>1087</v>
      </c>
      <c r="E56" s="145" t="s">
        <v>1180</v>
      </c>
      <c r="F56" s="146">
        <v>46136.0</v>
      </c>
      <c r="G56" s="142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A57" s="143" t="s">
        <v>405</v>
      </c>
      <c r="B57" s="143" t="s">
        <v>885</v>
      </c>
      <c r="C57" s="143" t="s">
        <v>1186</v>
      </c>
      <c r="D57" s="143" t="s">
        <v>1116</v>
      </c>
      <c r="E57" s="145" t="s">
        <v>1180</v>
      </c>
      <c r="F57" s="146">
        <v>46143.0</v>
      </c>
      <c r="G57" s="142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A58" s="143" t="s">
        <v>407</v>
      </c>
      <c r="B58" s="143" t="s">
        <v>885</v>
      </c>
      <c r="C58" s="143" t="s">
        <v>1187</v>
      </c>
      <c r="D58" s="143" t="s">
        <v>1116</v>
      </c>
      <c r="E58" s="145" t="s">
        <v>1180</v>
      </c>
      <c r="F58" s="146">
        <v>46143.0</v>
      </c>
      <c r="G58" s="142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A59" s="143" t="s">
        <v>288</v>
      </c>
      <c r="B59" s="143" t="s">
        <v>1090</v>
      </c>
      <c r="C59" s="143" t="s">
        <v>1188</v>
      </c>
      <c r="D59" s="143" t="s">
        <v>1116</v>
      </c>
      <c r="E59" s="145" t="s">
        <v>1093</v>
      </c>
      <c r="F59" s="146">
        <v>46143.0</v>
      </c>
      <c r="G59" s="142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A60" s="143" t="s">
        <v>290</v>
      </c>
      <c r="B60" s="143" t="s">
        <v>1108</v>
      </c>
      <c r="C60" s="143" t="s">
        <v>1189</v>
      </c>
      <c r="D60" s="143" t="s">
        <v>1190</v>
      </c>
      <c r="E60" s="145" t="s">
        <v>1110</v>
      </c>
      <c r="F60" s="146">
        <v>45994.0</v>
      </c>
      <c r="G60" s="142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A61" s="143" t="s">
        <v>409</v>
      </c>
      <c r="B61" s="143" t="s">
        <v>1090</v>
      </c>
      <c r="C61" s="143" t="s">
        <v>1191</v>
      </c>
      <c r="D61" s="143" t="s">
        <v>1087</v>
      </c>
      <c r="E61" s="145" t="s">
        <v>1093</v>
      </c>
      <c r="F61" s="153">
        <v>46151.0</v>
      </c>
      <c r="G61" s="142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A62" s="143" t="s">
        <v>45</v>
      </c>
      <c r="B62" s="143" t="s">
        <v>1108</v>
      </c>
      <c r="C62" s="143" t="s">
        <v>1192</v>
      </c>
      <c r="D62" s="143" t="s">
        <v>1087</v>
      </c>
      <c r="E62" s="145" t="s">
        <v>1110</v>
      </c>
      <c r="F62" s="153">
        <v>46153.0</v>
      </c>
      <c r="G62" s="142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A63" s="143" t="s">
        <v>30</v>
      </c>
      <c r="B63" s="143" t="s">
        <v>1193</v>
      </c>
      <c r="C63" s="143" t="s">
        <v>1194</v>
      </c>
      <c r="D63" s="143" t="s">
        <v>1087</v>
      </c>
      <c r="E63" s="145" t="s">
        <v>1195</v>
      </c>
      <c r="F63" s="153">
        <v>46154.0</v>
      </c>
      <c r="G63" s="142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A64" s="154" t="s">
        <v>1196</v>
      </c>
      <c r="B64" s="143" t="s">
        <v>1090</v>
      </c>
      <c r="C64" s="154" t="s">
        <v>1197</v>
      </c>
      <c r="D64" s="154" t="s">
        <v>1116</v>
      </c>
      <c r="E64" s="145" t="s">
        <v>1093</v>
      </c>
      <c r="F64" s="142"/>
      <c r="G64" s="142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A65" s="154" t="s">
        <v>1198</v>
      </c>
      <c r="B65" s="143" t="s">
        <v>1090</v>
      </c>
      <c r="C65" s="154" t="s">
        <v>1199</v>
      </c>
      <c r="D65" s="154" t="s">
        <v>1116</v>
      </c>
      <c r="E65" s="145" t="s">
        <v>1093</v>
      </c>
      <c r="F65" s="142"/>
      <c r="G65" s="142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A66" s="154" t="s">
        <v>1200</v>
      </c>
      <c r="B66" s="143" t="s">
        <v>1090</v>
      </c>
      <c r="C66" s="154" t="s">
        <v>1201</v>
      </c>
      <c r="D66" s="154" t="s">
        <v>1116</v>
      </c>
      <c r="E66" s="145" t="s">
        <v>1093</v>
      </c>
      <c r="F66" s="142"/>
      <c r="G66" s="142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A67" s="154" t="s">
        <v>1202</v>
      </c>
      <c r="B67" s="143" t="s">
        <v>1090</v>
      </c>
      <c r="C67" s="154" t="s">
        <v>1203</v>
      </c>
      <c r="D67" s="154" t="s">
        <v>1116</v>
      </c>
      <c r="E67" s="145" t="s">
        <v>1093</v>
      </c>
      <c r="F67" s="142"/>
      <c r="G67" s="142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A68" s="154" t="s">
        <v>1204</v>
      </c>
      <c r="B68" s="143" t="s">
        <v>1090</v>
      </c>
      <c r="C68" s="154" t="s">
        <v>1205</v>
      </c>
      <c r="D68" s="154" t="s">
        <v>1116</v>
      </c>
      <c r="E68" s="145" t="s">
        <v>1093</v>
      </c>
      <c r="F68" s="142"/>
      <c r="G68" s="142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A69" s="154" t="s">
        <v>1206</v>
      </c>
      <c r="B69" s="143" t="s">
        <v>1090</v>
      </c>
      <c r="C69" s="154" t="s">
        <v>1207</v>
      </c>
      <c r="D69" s="154" t="s">
        <v>1116</v>
      </c>
      <c r="E69" s="145" t="s">
        <v>1093</v>
      </c>
      <c r="F69" s="142"/>
      <c r="G69" s="142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A70" s="154" t="s">
        <v>1208</v>
      </c>
      <c r="B70" s="143" t="s">
        <v>1090</v>
      </c>
      <c r="C70" s="154" t="s">
        <v>1209</v>
      </c>
      <c r="D70" s="154" t="s">
        <v>1116</v>
      </c>
      <c r="E70" s="145" t="s">
        <v>1093</v>
      </c>
      <c r="F70" s="142"/>
      <c r="G70" s="142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A71" s="154" t="s">
        <v>1210</v>
      </c>
      <c r="B71" s="143" t="s">
        <v>1090</v>
      </c>
      <c r="C71" s="154" t="s">
        <v>1211</v>
      </c>
      <c r="D71" s="154" t="s">
        <v>1116</v>
      </c>
      <c r="E71" s="145" t="s">
        <v>1093</v>
      </c>
      <c r="F71" s="142"/>
      <c r="G71" s="142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A72" s="154" t="s">
        <v>1212</v>
      </c>
      <c r="B72" s="143" t="s">
        <v>1090</v>
      </c>
      <c r="C72" s="154" t="s">
        <v>1213</v>
      </c>
      <c r="D72" s="154" t="s">
        <v>1116</v>
      </c>
      <c r="E72" s="145" t="s">
        <v>1093</v>
      </c>
      <c r="F72" s="142"/>
      <c r="G72" s="142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A73" s="154" t="s">
        <v>1214</v>
      </c>
      <c r="B73" s="143" t="s">
        <v>1090</v>
      </c>
      <c r="C73" s="154" t="s">
        <v>1215</v>
      </c>
      <c r="D73" s="154" t="s">
        <v>1116</v>
      </c>
      <c r="E73" s="145" t="s">
        <v>1093</v>
      </c>
      <c r="F73" s="142"/>
      <c r="G73" s="142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A74" s="154" t="s">
        <v>1216</v>
      </c>
      <c r="B74" s="143" t="s">
        <v>1090</v>
      </c>
      <c r="C74" s="154" t="s">
        <v>1217</v>
      </c>
      <c r="D74" s="154" t="s">
        <v>1116</v>
      </c>
      <c r="E74" s="145" t="s">
        <v>1093</v>
      </c>
      <c r="F74" s="142"/>
      <c r="G74" s="142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A75" s="154" t="s">
        <v>1218</v>
      </c>
      <c r="B75" s="143" t="s">
        <v>1090</v>
      </c>
      <c r="C75" s="155"/>
      <c r="D75" s="155"/>
      <c r="E75" s="145" t="s">
        <v>1093</v>
      </c>
      <c r="F75" s="142"/>
      <c r="G75" s="142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A76" s="154" t="s">
        <v>1219</v>
      </c>
      <c r="B76" s="143" t="s">
        <v>1090</v>
      </c>
      <c r="C76" s="154" t="s">
        <v>1220</v>
      </c>
      <c r="D76" s="154" t="s">
        <v>1116</v>
      </c>
      <c r="E76" s="145" t="s">
        <v>1093</v>
      </c>
      <c r="F76" s="142"/>
      <c r="G76" s="142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A77" s="154" t="s">
        <v>1221</v>
      </c>
      <c r="B77" s="143" t="s">
        <v>1090</v>
      </c>
      <c r="C77" s="154" t="s">
        <v>1222</v>
      </c>
      <c r="D77" s="154" t="s">
        <v>1116</v>
      </c>
      <c r="E77" s="145" t="s">
        <v>1093</v>
      </c>
      <c r="F77" s="142"/>
      <c r="G77" s="142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A78" s="154" t="s">
        <v>1223</v>
      </c>
      <c r="B78" s="143" t="s">
        <v>1090</v>
      </c>
      <c r="C78" s="154" t="s">
        <v>1224</v>
      </c>
      <c r="D78" s="154" t="s">
        <v>1116</v>
      </c>
      <c r="E78" s="145" t="s">
        <v>1093</v>
      </c>
      <c r="F78" s="142"/>
      <c r="G78" s="142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A79" s="154" t="s">
        <v>1225</v>
      </c>
      <c r="B79" s="143" t="s">
        <v>1090</v>
      </c>
      <c r="C79" s="154" t="s">
        <v>1226</v>
      </c>
      <c r="D79" s="154" t="s">
        <v>1116</v>
      </c>
      <c r="E79" s="145" t="s">
        <v>1093</v>
      </c>
      <c r="F79" s="142"/>
      <c r="G79" s="142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A80" s="154" t="s">
        <v>1227</v>
      </c>
      <c r="B80" s="143" t="s">
        <v>1090</v>
      </c>
      <c r="C80" s="154" t="s">
        <v>1228</v>
      </c>
      <c r="D80" s="154" t="s">
        <v>1087</v>
      </c>
      <c r="E80" s="145" t="s">
        <v>1093</v>
      </c>
      <c r="F80" s="142"/>
      <c r="G80" s="142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A81" s="154" t="s">
        <v>1229</v>
      </c>
      <c r="B81" s="143" t="s">
        <v>1090</v>
      </c>
      <c r="C81" s="154" t="s">
        <v>1230</v>
      </c>
      <c r="D81" s="154" t="s">
        <v>1231</v>
      </c>
      <c r="E81" s="145" t="s">
        <v>1093</v>
      </c>
      <c r="F81" s="142"/>
      <c r="G81" s="142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A82" s="154" t="s">
        <v>1232</v>
      </c>
      <c r="B82" s="143" t="s">
        <v>1090</v>
      </c>
      <c r="C82" s="154" t="s">
        <v>1233</v>
      </c>
      <c r="D82" s="154" t="s">
        <v>1116</v>
      </c>
      <c r="E82" s="145" t="s">
        <v>1093</v>
      </c>
      <c r="F82" s="142"/>
      <c r="G82" s="142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A83" s="154" t="s">
        <v>1234</v>
      </c>
      <c r="B83" s="143" t="s">
        <v>1090</v>
      </c>
      <c r="C83" s="154" t="s">
        <v>1235</v>
      </c>
      <c r="D83" s="154" t="s">
        <v>1116</v>
      </c>
      <c r="E83" s="145" t="s">
        <v>1093</v>
      </c>
      <c r="F83" s="142"/>
      <c r="G83" s="142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A84" s="154" t="s">
        <v>1236</v>
      </c>
      <c r="B84" s="143" t="s">
        <v>1090</v>
      </c>
      <c r="C84" s="154" t="s">
        <v>1237</v>
      </c>
      <c r="D84" s="154" t="s">
        <v>1116</v>
      </c>
      <c r="E84" s="145" t="s">
        <v>1093</v>
      </c>
      <c r="F84" s="142"/>
      <c r="G84" s="142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A85" s="154" t="s">
        <v>1238</v>
      </c>
      <c r="B85" s="143" t="s">
        <v>1090</v>
      </c>
      <c r="C85" s="154" t="s">
        <v>1239</v>
      </c>
      <c r="D85" s="154" t="s">
        <v>1116</v>
      </c>
      <c r="E85" s="145" t="s">
        <v>1093</v>
      </c>
      <c r="F85" s="142"/>
      <c r="G85" s="142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A86" s="154" t="s">
        <v>1240</v>
      </c>
      <c r="B86" s="143" t="s">
        <v>1090</v>
      </c>
      <c r="C86" s="154" t="s">
        <v>1241</v>
      </c>
      <c r="D86" s="154" t="s">
        <v>1116</v>
      </c>
      <c r="E86" s="145" t="s">
        <v>1093</v>
      </c>
      <c r="F86" s="142"/>
      <c r="G86" s="142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A87" s="154" t="s">
        <v>1242</v>
      </c>
      <c r="B87" s="143" t="s">
        <v>1090</v>
      </c>
      <c r="C87" s="154" t="s">
        <v>1243</v>
      </c>
      <c r="D87" s="154" t="s">
        <v>1116</v>
      </c>
      <c r="E87" s="145" t="s">
        <v>1093</v>
      </c>
      <c r="F87" s="142"/>
      <c r="G87" s="142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A88" s="154" t="s">
        <v>1244</v>
      </c>
      <c r="B88" s="143" t="s">
        <v>1090</v>
      </c>
      <c r="C88" s="154" t="s">
        <v>1245</v>
      </c>
      <c r="D88" s="154" t="s">
        <v>1087</v>
      </c>
      <c r="E88" s="145" t="s">
        <v>1093</v>
      </c>
      <c r="F88" s="142"/>
      <c r="G88" s="142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A89" s="154" t="s">
        <v>1246</v>
      </c>
      <c r="B89" s="143" t="s">
        <v>1090</v>
      </c>
      <c r="C89" s="154" t="s">
        <v>1247</v>
      </c>
      <c r="D89" s="154" t="s">
        <v>1116</v>
      </c>
      <c r="E89" s="145" t="s">
        <v>1093</v>
      </c>
      <c r="F89" s="142"/>
      <c r="G89" s="142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A90" s="154" t="s">
        <v>1248</v>
      </c>
      <c r="B90" s="143" t="s">
        <v>1090</v>
      </c>
      <c r="C90" s="154" t="s">
        <v>1249</v>
      </c>
      <c r="D90" s="154" t="s">
        <v>1116</v>
      </c>
      <c r="E90" s="145" t="s">
        <v>1093</v>
      </c>
      <c r="F90" s="142"/>
      <c r="G90" s="142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A91" s="154" t="s">
        <v>1250</v>
      </c>
      <c r="B91" s="143" t="s">
        <v>1090</v>
      </c>
      <c r="C91" s="154" t="s">
        <v>1251</v>
      </c>
      <c r="D91" s="154" t="s">
        <v>1116</v>
      </c>
      <c r="E91" s="145" t="s">
        <v>1093</v>
      </c>
      <c r="F91" s="142"/>
      <c r="G91" s="142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A92" s="154" t="s">
        <v>1252</v>
      </c>
      <c r="B92" s="143" t="s">
        <v>1090</v>
      </c>
      <c r="C92" s="154" t="s">
        <v>1253</v>
      </c>
      <c r="D92" s="154" t="s">
        <v>1116</v>
      </c>
      <c r="E92" s="145" t="s">
        <v>1093</v>
      </c>
      <c r="F92" s="142"/>
      <c r="G92" s="142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A93" s="154" t="s">
        <v>1254</v>
      </c>
      <c r="B93" s="143" t="s">
        <v>1090</v>
      </c>
      <c r="C93" s="154" t="s">
        <v>1255</v>
      </c>
      <c r="D93" s="154" t="s">
        <v>1116</v>
      </c>
      <c r="E93" s="145" t="s">
        <v>1093</v>
      </c>
      <c r="F93" s="142"/>
      <c r="G93" s="142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A94" s="154" t="s">
        <v>1256</v>
      </c>
      <c r="B94" s="143" t="s">
        <v>1090</v>
      </c>
      <c r="C94" s="154" t="s">
        <v>1257</v>
      </c>
      <c r="D94" s="154" t="s">
        <v>1116</v>
      </c>
      <c r="E94" s="145" t="s">
        <v>1093</v>
      </c>
      <c r="F94" s="142"/>
      <c r="G94" s="142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A95" s="154" t="s">
        <v>1258</v>
      </c>
      <c r="B95" s="143" t="s">
        <v>1090</v>
      </c>
      <c r="C95" s="154" t="s">
        <v>1259</v>
      </c>
      <c r="D95" s="154" t="s">
        <v>1116</v>
      </c>
      <c r="E95" s="145" t="s">
        <v>1093</v>
      </c>
      <c r="F95" s="142"/>
      <c r="G95" s="142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A96" s="154" t="s">
        <v>1260</v>
      </c>
      <c r="B96" s="143" t="s">
        <v>1090</v>
      </c>
      <c r="C96" s="154" t="s">
        <v>1261</v>
      </c>
      <c r="D96" s="154" t="s">
        <v>1116</v>
      </c>
      <c r="E96" s="145" t="s">
        <v>1093</v>
      </c>
      <c r="F96" s="142"/>
      <c r="G96" s="142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A97" s="154" t="s">
        <v>1262</v>
      </c>
      <c r="B97" s="143" t="s">
        <v>1090</v>
      </c>
      <c r="C97" s="154" t="s">
        <v>1263</v>
      </c>
      <c r="D97" s="154" t="s">
        <v>1116</v>
      </c>
      <c r="E97" s="145" t="s">
        <v>1093</v>
      </c>
      <c r="F97" s="142"/>
      <c r="G97" s="142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A98" s="154" t="s">
        <v>1264</v>
      </c>
      <c r="B98" s="143" t="s">
        <v>1090</v>
      </c>
      <c r="C98" s="154" t="s">
        <v>1265</v>
      </c>
      <c r="D98" s="154" t="s">
        <v>1116</v>
      </c>
      <c r="E98" s="145" t="s">
        <v>1093</v>
      </c>
      <c r="F98" s="142"/>
      <c r="G98" s="142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A99" s="154" t="s">
        <v>1266</v>
      </c>
      <c r="B99" s="143" t="s">
        <v>1090</v>
      </c>
      <c r="C99" s="154" t="s">
        <v>1267</v>
      </c>
      <c r="D99" s="154" t="s">
        <v>1116</v>
      </c>
      <c r="E99" s="145" t="s">
        <v>1093</v>
      </c>
      <c r="F99" s="142"/>
      <c r="G99" s="142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A100" s="154" t="s">
        <v>1268</v>
      </c>
      <c r="B100" s="143" t="s">
        <v>1090</v>
      </c>
      <c r="C100" s="154" t="s">
        <v>1269</v>
      </c>
      <c r="D100" s="154" t="s">
        <v>1116</v>
      </c>
      <c r="E100" s="145" t="s">
        <v>1093</v>
      </c>
      <c r="F100" s="142"/>
      <c r="G100" s="142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A101" s="154" t="s">
        <v>1270</v>
      </c>
      <c r="B101" s="143" t="s">
        <v>1090</v>
      </c>
      <c r="C101" s="154" t="s">
        <v>1271</v>
      </c>
      <c r="D101" s="154" t="s">
        <v>1116</v>
      </c>
      <c r="E101" s="145" t="s">
        <v>1093</v>
      </c>
      <c r="F101" s="142"/>
      <c r="G101" s="142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A102" s="154" t="s">
        <v>1272</v>
      </c>
      <c r="B102" s="143" t="s">
        <v>1090</v>
      </c>
      <c r="C102" s="154" t="s">
        <v>1273</v>
      </c>
      <c r="D102" s="154" t="s">
        <v>1116</v>
      </c>
      <c r="E102" s="145" t="s">
        <v>1093</v>
      </c>
      <c r="F102" s="142"/>
      <c r="G102" s="142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A103" s="154" t="s">
        <v>1274</v>
      </c>
      <c r="B103" s="143" t="s">
        <v>1090</v>
      </c>
      <c r="C103" s="154" t="s">
        <v>1275</v>
      </c>
      <c r="D103" s="154" t="s">
        <v>1116</v>
      </c>
      <c r="E103" s="145" t="s">
        <v>1093</v>
      </c>
      <c r="F103" s="142"/>
      <c r="G103" s="142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A104" s="154" t="s">
        <v>1276</v>
      </c>
      <c r="B104" s="143" t="s">
        <v>1090</v>
      </c>
      <c r="C104" s="154" t="s">
        <v>1277</v>
      </c>
      <c r="D104" s="154" t="s">
        <v>1116</v>
      </c>
      <c r="E104" s="145" t="s">
        <v>1093</v>
      </c>
      <c r="F104" s="142"/>
      <c r="G104" s="142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A105" s="154" t="s">
        <v>1278</v>
      </c>
      <c r="B105" s="143" t="s">
        <v>1090</v>
      </c>
      <c r="C105" s="154" t="s">
        <v>1279</v>
      </c>
      <c r="D105" s="154" t="s">
        <v>1116</v>
      </c>
      <c r="E105" s="145" t="s">
        <v>1093</v>
      </c>
      <c r="F105" s="142"/>
      <c r="G105" s="142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A106" s="154" t="s">
        <v>1280</v>
      </c>
      <c r="B106" s="143" t="s">
        <v>1090</v>
      </c>
      <c r="C106" s="154" t="s">
        <v>1281</v>
      </c>
      <c r="D106" s="154" t="s">
        <v>1116</v>
      </c>
      <c r="E106" s="145" t="s">
        <v>1093</v>
      </c>
      <c r="F106" s="142"/>
      <c r="G106" s="142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A107" s="154" t="s">
        <v>1282</v>
      </c>
      <c r="B107" s="143" t="s">
        <v>1090</v>
      </c>
      <c r="C107" s="154" t="s">
        <v>1283</v>
      </c>
      <c r="D107" s="154" t="s">
        <v>1116</v>
      </c>
      <c r="E107" s="145" t="s">
        <v>1093</v>
      </c>
      <c r="F107" s="142"/>
      <c r="G107" s="142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A108" s="154" t="s">
        <v>1284</v>
      </c>
      <c r="B108" s="143" t="s">
        <v>1090</v>
      </c>
      <c r="C108" s="154" t="s">
        <v>1285</v>
      </c>
      <c r="D108" s="154" t="s">
        <v>1116</v>
      </c>
      <c r="E108" s="145" t="s">
        <v>1093</v>
      </c>
      <c r="F108" s="142"/>
      <c r="G108" s="142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A109" s="154" t="s">
        <v>1286</v>
      </c>
      <c r="B109" s="143" t="s">
        <v>1090</v>
      </c>
      <c r="C109" s="154" t="s">
        <v>1287</v>
      </c>
      <c r="D109" s="154" t="s">
        <v>1116</v>
      </c>
      <c r="E109" s="145" t="s">
        <v>1093</v>
      </c>
      <c r="F109" s="142"/>
      <c r="G109" s="142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A110" s="154" t="s">
        <v>1288</v>
      </c>
      <c r="B110" s="143" t="s">
        <v>1090</v>
      </c>
      <c r="C110" s="154" t="s">
        <v>1289</v>
      </c>
      <c r="D110" s="154" t="s">
        <v>1116</v>
      </c>
      <c r="E110" s="145" t="s">
        <v>1093</v>
      </c>
      <c r="F110" s="142"/>
      <c r="G110" s="142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A111" s="143" t="s">
        <v>1290</v>
      </c>
      <c r="B111" s="143" t="s">
        <v>1108</v>
      </c>
      <c r="C111" s="143" t="s">
        <v>1066</v>
      </c>
      <c r="D111" s="143" t="s">
        <v>1087</v>
      </c>
      <c r="E111" s="145" t="s">
        <v>1110</v>
      </c>
      <c r="F111" s="153">
        <v>46158.0</v>
      </c>
      <c r="G111" s="142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A112" s="143" t="s">
        <v>326</v>
      </c>
      <c r="B112" s="143" t="s">
        <v>1108</v>
      </c>
      <c r="C112" s="143" t="s">
        <v>1291</v>
      </c>
      <c r="D112" s="143" t="s">
        <v>1087</v>
      </c>
      <c r="E112" s="145" t="s">
        <v>1110</v>
      </c>
      <c r="F112" s="153">
        <v>45983.0</v>
      </c>
      <c r="G112" s="142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A113" s="143" t="s">
        <v>199</v>
      </c>
      <c r="B113" s="143" t="s">
        <v>1090</v>
      </c>
      <c r="C113" s="143" t="s">
        <v>1292</v>
      </c>
      <c r="D113" s="143" t="s">
        <v>1116</v>
      </c>
      <c r="E113" s="145" t="s">
        <v>1093</v>
      </c>
      <c r="F113" s="153">
        <v>45935.0</v>
      </c>
      <c r="G113" s="142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A114" s="143" t="s">
        <v>329</v>
      </c>
      <c r="B114" s="143" t="s">
        <v>1090</v>
      </c>
      <c r="C114" s="143" t="s">
        <v>1293</v>
      </c>
      <c r="D114" s="143" t="s">
        <v>1087</v>
      </c>
      <c r="E114" s="145" t="s">
        <v>1093</v>
      </c>
      <c r="F114" s="153">
        <v>46178.0</v>
      </c>
      <c r="G114" s="142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A115" s="142" t="s">
        <v>1294</v>
      </c>
      <c r="B115" s="143" t="s">
        <v>1090</v>
      </c>
      <c r="C115" s="142" t="s">
        <v>1295</v>
      </c>
      <c r="D115" s="142" t="s">
        <v>1116</v>
      </c>
      <c r="E115" s="142"/>
      <c r="F115" s="142"/>
      <c r="G115" s="142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A116" s="142" t="s">
        <v>1296</v>
      </c>
      <c r="B116" s="143" t="s">
        <v>1090</v>
      </c>
      <c r="C116" s="142" t="s">
        <v>1297</v>
      </c>
      <c r="D116" s="142" t="s">
        <v>1116</v>
      </c>
      <c r="E116" s="142"/>
      <c r="F116" s="142"/>
      <c r="G116" s="142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A117" s="142" t="s">
        <v>1298</v>
      </c>
      <c r="B117" s="143" t="s">
        <v>1108</v>
      </c>
      <c r="C117" s="142" t="s">
        <v>1299</v>
      </c>
      <c r="D117" s="142" t="s">
        <v>1087</v>
      </c>
      <c r="E117" s="142"/>
      <c r="F117" s="142"/>
      <c r="G117" s="142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A118" s="142" t="s">
        <v>1300</v>
      </c>
      <c r="B118" s="143" t="s">
        <v>1090</v>
      </c>
      <c r="C118" s="142" t="s">
        <v>1301</v>
      </c>
      <c r="D118" s="142" t="s">
        <v>1087</v>
      </c>
      <c r="E118" s="142"/>
      <c r="F118" s="142"/>
      <c r="G118" s="142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A119" s="156" t="s">
        <v>1302</v>
      </c>
      <c r="B119" s="143" t="s">
        <v>1159</v>
      </c>
      <c r="C119" s="156" t="s">
        <v>1303</v>
      </c>
      <c r="D119" s="142" t="s">
        <v>1116</v>
      </c>
      <c r="E119" s="142"/>
      <c r="F119" s="142"/>
      <c r="G119" s="142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A120" s="156" t="s">
        <v>1304</v>
      </c>
      <c r="B120" s="143" t="s">
        <v>1159</v>
      </c>
      <c r="C120" s="156" t="s">
        <v>1305</v>
      </c>
      <c r="D120" s="142" t="s">
        <v>1116</v>
      </c>
      <c r="E120" s="142"/>
      <c r="F120" s="142"/>
      <c r="G120" s="142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A121" s="156" t="s">
        <v>1306</v>
      </c>
      <c r="B121" s="143" t="s">
        <v>1159</v>
      </c>
      <c r="C121" s="156" t="s">
        <v>1305</v>
      </c>
      <c r="D121" s="142" t="s">
        <v>1116</v>
      </c>
      <c r="E121" s="142"/>
      <c r="F121" s="142"/>
      <c r="G121" s="142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A122" s="156" t="s">
        <v>1307</v>
      </c>
      <c r="B122" s="143" t="s">
        <v>1159</v>
      </c>
      <c r="C122" s="156" t="s">
        <v>1305</v>
      </c>
      <c r="D122" s="142" t="s">
        <v>1116</v>
      </c>
      <c r="E122" s="142"/>
      <c r="F122" s="142"/>
      <c r="G122" s="142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A123" s="156" t="s">
        <v>1308</v>
      </c>
      <c r="B123" s="143" t="s">
        <v>1159</v>
      </c>
      <c r="C123" s="156" t="s">
        <v>1305</v>
      </c>
      <c r="D123" s="142" t="s">
        <v>1116</v>
      </c>
      <c r="E123" s="142"/>
      <c r="F123" s="142"/>
      <c r="G123" s="142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A124" s="156" t="s">
        <v>1309</v>
      </c>
      <c r="B124" s="143" t="s">
        <v>1159</v>
      </c>
      <c r="C124" s="142" t="s">
        <v>1305</v>
      </c>
      <c r="D124" s="142" t="s">
        <v>1116</v>
      </c>
      <c r="E124" s="142"/>
      <c r="F124" s="142"/>
      <c r="G124" s="142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A125" s="156" t="s">
        <v>1310</v>
      </c>
      <c r="B125" s="143" t="s">
        <v>1159</v>
      </c>
      <c r="C125" s="142" t="s">
        <v>1305</v>
      </c>
      <c r="D125" s="142" t="s">
        <v>1116</v>
      </c>
      <c r="E125" s="142"/>
      <c r="F125" s="142"/>
      <c r="G125" s="142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A126" s="156" t="s">
        <v>1311</v>
      </c>
      <c r="B126" s="143" t="s">
        <v>1159</v>
      </c>
      <c r="C126" s="142" t="s">
        <v>1305</v>
      </c>
      <c r="D126" s="142" t="s">
        <v>1116</v>
      </c>
      <c r="E126" s="142"/>
      <c r="F126" s="142"/>
      <c r="G126" s="142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A127" s="156" t="s">
        <v>1312</v>
      </c>
      <c r="B127" s="143" t="s">
        <v>1159</v>
      </c>
      <c r="C127" s="142" t="s">
        <v>1313</v>
      </c>
      <c r="D127" s="142" t="s">
        <v>1116</v>
      </c>
      <c r="E127" s="142"/>
      <c r="F127" s="142"/>
      <c r="G127" s="142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A128" s="156" t="s">
        <v>1314</v>
      </c>
      <c r="B128" s="143" t="s">
        <v>1159</v>
      </c>
      <c r="C128" s="142" t="s">
        <v>1313</v>
      </c>
      <c r="D128" s="142" t="s">
        <v>1116</v>
      </c>
      <c r="E128" s="142"/>
      <c r="F128" s="142"/>
      <c r="G128" s="142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A129" s="156" t="s">
        <v>1315</v>
      </c>
      <c r="B129" s="143" t="s">
        <v>1159</v>
      </c>
      <c r="C129" s="142" t="s">
        <v>1316</v>
      </c>
      <c r="D129" s="142" t="s">
        <v>1116</v>
      </c>
      <c r="E129" s="142"/>
      <c r="F129" s="142"/>
      <c r="G129" s="142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A130" s="156" t="s">
        <v>1317</v>
      </c>
      <c r="B130" s="143" t="s">
        <v>1159</v>
      </c>
      <c r="C130" s="142" t="s">
        <v>1318</v>
      </c>
      <c r="D130" s="142" t="s">
        <v>1319</v>
      </c>
      <c r="E130" s="142"/>
      <c r="F130" s="142"/>
      <c r="G130" s="142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A131" s="156" t="s">
        <v>1320</v>
      </c>
      <c r="B131" s="142" t="s">
        <v>1321</v>
      </c>
      <c r="C131" s="142" t="s">
        <v>1322</v>
      </c>
      <c r="D131" s="142" t="s">
        <v>1323</v>
      </c>
      <c r="E131" s="142"/>
      <c r="F131" s="142"/>
      <c r="G131" s="142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A132" s="156" t="s">
        <v>1324</v>
      </c>
      <c r="B132" s="143" t="s">
        <v>1100</v>
      </c>
      <c r="C132" s="142" t="s">
        <v>1325</v>
      </c>
      <c r="D132" s="142" t="s">
        <v>1087</v>
      </c>
      <c r="E132" s="142"/>
      <c r="F132" s="142"/>
      <c r="G132" s="142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A133" s="156" t="s">
        <v>1326</v>
      </c>
      <c r="B133" s="143" t="s">
        <v>1149</v>
      </c>
      <c r="C133" s="142" t="s">
        <v>1322</v>
      </c>
      <c r="D133" s="142" t="s">
        <v>1323</v>
      </c>
      <c r="E133" s="142"/>
      <c r="F133" s="142"/>
      <c r="G133" s="142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A134" s="156" t="s">
        <v>1327</v>
      </c>
      <c r="B134" s="143" t="s">
        <v>1149</v>
      </c>
      <c r="C134" s="142" t="s">
        <v>1322</v>
      </c>
      <c r="D134" s="142" t="s">
        <v>1323</v>
      </c>
      <c r="E134" s="142"/>
      <c r="F134" s="142"/>
      <c r="G134" s="142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56" t="s">
        <v>1328</v>
      </c>
      <c r="B135" s="143" t="s">
        <v>1159</v>
      </c>
      <c r="C135" s="142" t="s">
        <v>1329</v>
      </c>
      <c r="D135" s="142" t="s">
        <v>1116</v>
      </c>
      <c r="E135" s="142"/>
      <c r="F135" s="142"/>
      <c r="G135" s="142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56" t="s">
        <v>1330</v>
      </c>
      <c r="B136" s="143" t="s">
        <v>1159</v>
      </c>
      <c r="C136" s="142" t="s">
        <v>1331</v>
      </c>
      <c r="D136" s="142" t="s">
        <v>1116</v>
      </c>
      <c r="E136" s="142"/>
      <c r="F136" s="142"/>
      <c r="G136" s="142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A137" s="156" t="s">
        <v>1332</v>
      </c>
      <c r="B137" s="142" t="s">
        <v>1108</v>
      </c>
      <c r="C137" s="142" t="s">
        <v>1145</v>
      </c>
      <c r="D137" s="142" t="s">
        <v>1333</v>
      </c>
      <c r="E137" s="142"/>
      <c r="F137" s="142"/>
      <c r="G137" s="142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A138" s="156" t="s">
        <v>1334</v>
      </c>
      <c r="B138" s="142" t="s">
        <v>1108</v>
      </c>
      <c r="C138" s="142" t="s">
        <v>1335</v>
      </c>
      <c r="D138" s="142" t="s">
        <v>1336</v>
      </c>
      <c r="E138" s="142"/>
      <c r="F138" s="142"/>
      <c r="G138" s="142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A139" s="156" t="s">
        <v>1337</v>
      </c>
      <c r="B139" s="143" t="s">
        <v>1159</v>
      </c>
      <c r="C139" s="142" t="s">
        <v>1338</v>
      </c>
      <c r="D139" s="142" t="s">
        <v>1116</v>
      </c>
      <c r="E139" s="142"/>
      <c r="F139" s="142"/>
      <c r="G139" s="142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A140" s="156" t="s">
        <v>1339</v>
      </c>
      <c r="B140" s="143" t="s">
        <v>1159</v>
      </c>
      <c r="C140" s="142" t="s">
        <v>1305</v>
      </c>
      <c r="D140" s="142" t="s">
        <v>1116</v>
      </c>
      <c r="E140" s="142"/>
      <c r="F140" s="142"/>
      <c r="G140" s="142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A141" s="156" t="s">
        <v>1340</v>
      </c>
      <c r="B141" s="143" t="s">
        <v>1159</v>
      </c>
      <c r="C141" s="142" t="s">
        <v>1305</v>
      </c>
      <c r="D141" s="142" t="s">
        <v>1116</v>
      </c>
      <c r="E141" s="142"/>
      <c r="F141" s="142"/>
      <c r="G141" s="142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A142" s="156" t="s">
        <v>1341</v>
      </c>
      <c r="B142" s="143" t="s">
        <v>1159</v>
      </c>
      <c r="C142" s="142" t="s">
        <v>1342</v>
      </c>
      <c r="D142" s="142" t="s">
        <v>1343</v>
      </c>
      <c r="E142" s="142"/>
      <c r="F142" s="142"/>
      <c r="G142" s="142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A143" s="156" t="s">
        <v>1344</v>
      </c>
      <c r="B143" s="143" t="s">
        <v>1159</v>
      </c>
      <c r="C143" s="142" t="s">
        <v>1345</v>
      </c>
      <c r="D143" s="142" t="s">
        <v>1174</v>
      </c>
      <c r="E143" s="142"/>
      <c r="F143" s="142"/>
      <c r="G143" s="142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A144" s="156" t="s">
        <v>1346</v>
      </c>
      <c r="B144" s="143" t="s">
        <v>1159</v>
      </c>
      <c r="C144" s="142" t="s">
        <v>1347</v>
      </c>
      <c r="D144" s="142" t="s">
        <v>1348</v>
      </c>
      <c r="E144" s="142"/>
      <c r="F144" s="142"/>
      <c r="G144" s="142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A145" s="156" t="s">
        <v>1349</v>
      </c>
      <c r="B145" s="143" t="s">
        <v>1159</v>
      </c>
      <c r="C145" s="142" t="s">
        <v>1350</v>
      </c>
      <c r="D145" s="142" t="s">
        <v>1348</v>
      </c>
      <c r="E145" s="142"/>
      <c r="F145" s="142"/>
      <c r="G145" s="142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A146" s="156" t="s">
        <v>1351</v>
      </c>
      <c r="B146" s="143" t="s">
        <v>1159</v>
      </c>
      <c r="C146" s="142" t="s">
        <v>1352</v>
      </c>
      <c r="D146" s="142" t="s">
        <v>1116</v>
      </c>
      <c r="E146" s="142"/>
      <c r="F146" s="142"/>
      <c r="G146" s="142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A147" s="156" t="s">
        <v>1353</v>
      </c>
      <c r="B147" s="143" t="s">
        <v>1159</v>
      </c>
      <c r="C147" s="142" t="s">
        <v>1160</v>
      </c>
      <c r="D147" s="142" t="s">
        <v>1116</v>
      </c>
      <c r="E147" s="142"/>
      <c r="F147" s="142"/>
      <c r="G147" s="142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56" t="s">
        <v>1354</v>
      </c>
      <c r="B148" s="143" t="s">
        <v>1159</v>
      </c>
      <c r="C148" s="142" t="s">
        <v>1171</v>
      </c>
      <c r="D148" s="142" t="s">
        <v>1116</v>
      </c>
      <c r="E148" s="142"/>
      <c r="F148" s="142"/>
      <c r="G148" s="142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56" t="s">
        <v>1355</v>
      </c>
      <c r="B149" s="143" t="s">
        <v>1356</v>
      </c>
      <c r="C149" s="142" t="s">
        <v>1357</v>
      </c>
      <c r="D149" s="142" t="s">
        <v>1169</v>
      </c>
      <c r="E149" s="142"/>
      <c r="F149" s="142"/>
      <c r="G149" s="142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A150" s="156" t="s">
        <v>1358</v>
      </c>
      <c r="B150" s="143" t="s">
        <v>1356</v>
      </c>
      <c r="C150" s="142" t="s">
        <v>1359</v>
      </c>
      <c r="D150" s="142" t="s">
        <v>1116</v>
      </c>
      <c r="E150" s="142"/>
      <c r="F150" s="142"/>
      <c r="G150" s="142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56" t="s">
        <v>1360</v>
      </c>
      <c r="B151" s="143" t="s">
        <v>1356</v>
      </c>
      <c r="C151" s="142" t="s">
        <v>1359</v>
      </c>
      <c r="D151" s="142" t="s">
        <v>1116</v>
      </c>
      <c r="E151" s="142"/>
      <c r="F151" s="142"/>
      <c r="G151" s="142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56" t="s">
        <v>1361</v>
      </c>
      <c r="B152" s="143" t="s">
        <v>1356</v>
      </c>
      <c r="C152" s="142" t="s">
        <v>1362</v>
      </c>
      <c r="D152" s="142" t="s">
        <v>1116</v>
      </c>
      <c r="E152" s="142"/>
      <c r="F152" s="142"/>
      <c r="G152" s="142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56" t="s">
        <v>1363</v>
      </c>
      <c r="B153" s="143" t="s">
        <v>1159</v>
      </c>
      <c r="C153" s="142" t="s">
        <v>1364</v>
      </c>
      <c r="D153" s="142" t="s">
        <v>1116</v>
      </c>
      <c r="E153" s="142"/>
      <c r="F153" s="142"/>
      <c r="G153" s="142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A154" s="142" t="s">
        <v>1365</v>
      </c>
      <c r="B154" s="143" t="s">
        <v>1356</v>
      </c>
      <c r="C154" s="142" t="s">
        <v>1366</v>
      </c>
      <c r="D154" s="142" t="s">
        <v>1114</v>
      </c>
      <c r="E154" s="142"/>
      <c r="F154" s="142"/>
      <c r="G154" s="142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42" t="s">
        <v>1367</v>
      </c>
      <c r="B155" s="143" t="s">
        <v>1356</v>
      </c>
      <c r="C155" s="142" t="s">
        <v>1366</v>
      </c>
      <c r="D155" s="142" t="s">
        <v>1114</v>
      </c>
      <c r="E155" s="142"/>
      <c r="F155" s="142"/>
      <c r="G155" s="142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42" t="s">
        <v>1368</v>
      </c>
      <c r="B156" s="143" t="s">
        <v>1356</v>
      </c>
      <c r="C156" s="142" t="s">
        <v>1366</v>
      </c>
      <c r="D156" s="142" t="s">
        <v>1114</v>
      </c>
      <c r="E156" s="142"/>
      <c r="F156" s="142"/>
      <c r="G156" s="142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42" t="s">
        <v>1369</v>
      </c>
      <c r="B157" s="143" t="s">
        <v>1356</v>
      </c>
      <c r="C157" s="142" t="s">
        <v>1366</v>
      </c>
      <c r="D157" s="142" t="s">
        <v>1114</v>
      </c>
      <c r="E157" s="142"/>
      <c r="F157" s="142"/>
      <c r="G157" s="142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42" t="s">
        <v>1370</v>
      </c>
      <c r="B158" s="143" t="s">
        <v>1356</v>
      </c>
      <c r="C158" s="142" t="s">
        <v>1371</v>
      </c>
      <c r="D158" s="142" t="s">
        <v>1372</v>
      </c>
      <c r="E158" s="142"/>
      <c r="F158" s="142"/>
      <c r="G158" s="142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42" t="s">
        <v>1373</v>
      </c>
      <c r="B159" s="143" t="s">
        <v>885</v>
      </c>
      <c r="C159" s="142" t="s">
        <v>1325</v>
      </c>
      <c r="D159" s="142" t="s">
        <v>1374</v>
      </c>
      <c r="E159" s="142"/>
      <c r="F159" s="142"/>
      <c r="G159" s="142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42" t="s">
        <v>1375</v>
      </c>
      <c r="B160" s="143" t="s">
        <v>1108</v>
      </c>
      <c r="C160" s="142" t="s">
        <v>1376</v>
      </c>
      <c r="D160" s="142" t="s">
        <v>1116</v>
      </c>
      <c r="E160" s="142"/>
      <c r="F160" s="142"/>
      <c r="G160" s="142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42" t="s">
        <v>1377</v>
      </c>
      <c r="B161" s="143" t="s">
        <v>1108</v>
      </c>
      <c r="C161" s="142" t="s">
        <v>1378</v>
      </c>
      <c r="D161" s="142" t="s">
        <v>1379</v>
      </c>
      <c r="E161" s="142"/>
      <c r="F161" s="142"/>
      <c r="G161" s="142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42" t="s">
        <v>1380</v>
      </c>
      <c r="B162" s="143" t="s">
        <v>1108</v>
      </c>
      <c r="C162" s="142" t="s">
        <v>1381</v>
      </c>
      <c r="D162" s="142" t="s">
        <v>1379</v>
      </c>
      <c r="E162" s="142"/>
      <c r="F162" s="142"/>
      <c r="G162" s="142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42" t="s">
        <v>1382</v>
      </c>
      <c r="B163" s="143" t="s">
        <v>1356</v>
      </c>
      <c r="C163" s="142" t="s">
        <v>1383</v>
      </c>
      <c r="D163" s="142" t="s">
        <v>1087</v>
      </c>
      <c r="E163" s="142"/>
      <c r="F163" s="142"/>
      <c r="G163" s="142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42" t="s">
        <v>1384</v>
      </c>
      <c r="B164" s="143" t="s">
        <v>1356</v>
      </c>
      <c r="C164" s="142" t="s">
        <v>1383</v>
      </c>
      <c r="D164" s="142" t="s">
        <v>1087</v>
      </c>
      <c r="E164" s="142"/>
      <c r="F164" s="142"/>
      <c r="G164" s="142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42" t="s">
        <v>1385</v>
      </c>
      <c r="B165" s="143" t="s">
        <v>1356</v>
      </c>
      <c r="C165" s="142" t="s">
        <v>1386</v>
      </c>
      <c r="D165" s="142" t="s">
        <v>1087</v>
      </c>
      <c r="E165" s="142"/>
      <c r="F165" s="142"/>
      <c r="G165" s="142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42" t="s">
        <v>1387</v>
      </c>
      <c r="B166" s="143" t="s">
        <v>1356</v>
      </c>
      <c r="C166" s="142" t="s">
        <v>1386</v>
      </c>
      <c r="D166" s="142" t="s">
        <v>1087</v>
      </c>
      <c r="E166" s="142"/>
      <c r="F166" s="142"/>
      <c r="G166" s="142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42" t="s">
        <v>1388</v>
      </c>
      <c r="B167" s="143" t="s">
        <v>1356</v>
      </c>
      <c r="C167" s="142" t="s">
        <v>1386</v>
      </c>
      <c r="D167" s="142" t="s">
        <v>1087</v>
      </c>
      <c r="E167" s="142"/>
      <c r="F167" s="142"/>
      <c r="G167" s="142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42" t="s">
        <v>1389</v>
      </c>
      <c r="B168" s="143" t="s">
        <v>1356</v>
      </c>
      <c r="C168" s="142" t="s">
        <v>1390</v>
      </c>
      <c r="D168" s="142" t="s">
        <v>1372</v>
      </c>
      <c r="E168" s="142"/>
      <c r="F168" s="142"/>
      <c r="G168" s="142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42" t="s">
        <v>1391</v>
      </c>
      <c r="B169" s="143" t="s">
        <v>1356</v>
      </c>
      <c r="C169" s="142" t="s">
        <v>1390</v>
      </c>
      <c r="D169" s="142" t="s">
        <v>1372</v>
      </c>
      <c r="E169" s="142"/>
      <c r="F169" s="142"/>
      <c r="G169" s="142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42" t="s">
        <v>1392</v>
      </c>
      <c r="B170" s="143" t="s">
        <v>1356</v>
      </c>
      <c r="C170" s="142" t="s">
        <v>1393</v>
      </c>
      <c r="D170" s="142" t="s">
        <v>1174</v>
      </c>
      <c r="E170" s="142"/>
      <c r="F170" s="142"/>
      <c r="G170" s="142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42" t="s">
        <v>1394</v>
      </c>
      <c r="B171" s="143" t="s">
        <v>1356</v>
      </c>
      <c r="C171" s="142" t="s">
        <v>1393</v>
      </c>
      <c r="D171" s="142" t="s">
        <v>1174</v>
      </c>
      <c r="E171" s="142"/>
      <c r="F171" s="142"/>
      <c r="G171" s="142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A172" s="142" t="s">
        <v>1395</v>
      </c>
      <c r="B172" s="143" t="s">
        <v>1356</v>
      </c>
      <c r="C172" s="142" t="s">
        <v>1393</v>
      </c>
      <c r="D172" s="142" t="s">
        <v>1174</v>
      </c>
      <c r="E172" s="142"/>
      <c r="F172" s="142"/>
      <c r="G172" s="142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A173" s="142" t="s">
        <v>1396</v>
      </c>
      <c r="B173" s="143" t="s">
        <v>1356</v>
      </c>
      <c r="C173" s="142" t="s">
        <v>1393</v>
      </c>
      <c r="D173" s="142" t="s">
        <v>1174</v>
      </c>
      <c r="E173" s="142"/>
      <c r="F173" s="142"/>
      <c r="G173" s="142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A174" s="142" t="s">
        <v>1397</v>
      </c>
      <c r="B174" s="143" t="s">
        <v>1356</v>
      </c>
      <c r="C174" s="142" t="s">
        <v>1393</v>
      </c>
      <c r="D174" s="142" t="s">
        <v>1174</v>
      </c>
      <c r="E174" s="142"/>
      <c r="F174" s="142"/>
      <c r="G174" s="142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A175" s="143" t="s">
        <v>318</v>
      </c>
      <c r="B175" s="143" t="s">
        <v>1356</v>
      </c>
      <c r="C175" s="143" t="s">
        <v>1398</v>
      </c>
      <c r="D175" s="143" t="s">
        <v>1116</v>
      </c>
      <c r="E175" s="145" t="s">
        <v>1399</v>
      </c>
      <c r="F175" s="153">
        <v>46182.0</v>
      </c>
      <c r="G175" s="142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A176" s="142" t="s">
        <v>1400</v>
      </c>
      <c r="B176" s="143" t="s">
        <v>1356</v>
      </c>
      <c r="C176" s="142" t="s">
        <v>1401</v>
      </c>
      <c r="D176" s="142" t="s">
        <v>1116</v>
      </c>
      <c r="E176" s="142"/>
      <c r="F176" s="142"/>
      <c r="G176" s="142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A177" s="142" t="s">
        <v>1402</v>
      </c>
      <c r="B177" s="143" t="s">
        <v>1108</v>
      </c>
      <c r="C177" s="142" t="s">
        <v>1403</v>
      </c>
      <c r="D177" s="142" t="s">
        <v>1404</v>
      </c>
      <c r="E177" s="142"/>
      <c r="F177" s="142"/>
      <c r="G177" s="142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A178" s="142" t="s">
        <v>1405</v>
      </c>
      <c r="B178" s="143" t="s">
        <v>1108</v>
      </c>
      <c r="C178" s="142" t="s">
        <v>1406</v>
      </c>
      <c r="D178" s="142" t="s">
        <v>1116</v>
      </c>
      <c r="E178" s="142"/>
      <c r="F178" s="142"/>
      <c r="G178" s="142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A179" s="142" t="s">
        <v>1407</v>
      </c>
      <c r="B179" s="143" t="s">
        <v>1108</v>
      </c>
      <c r="C179" s="142" t="s">
        <v>1406</v>
      </c>
      <c r="D179" s="142" t="s">
        <v>1116</v>
      </c>
      <c r="E179" s="142"/>
      <c r="F179" s="142"/>
      <c r="G179" s="142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A180" s="142" t="s">
        <v>1408</v>
      </c>
      <c r="B180" s="143" t="s">
        <v>1356</v>
      </c>
      <c r="C180" s="142" t="s">
        <v>1409</v>
      </c>
      <c r="D180" s="142" t="s">
        <v>1410</v>
      </c>
      <c r="E180" s="142"/>
      <c r="F180" s="142"/>
      <c r="G180" s="142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A181" s="142" t="s">
        <v>1411</v>
      </c>
      <c r="B181" s="143" t="s">
        <v>1090</v>
      </c>
      <c r="C181" s="142" t="s">
        <v>1412</v>
      </c>
      <c r="D181" s="142" t="s">
        <v>1116</v>
      </c>
      <c r="E181" s="142"/>
      <c r="F181" s="142"/>
      <c r="G181" s="142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A182" s="142" t="s">
        <v>1413</v>
      </c>
      <c r="B182" s="143" t="s">
        <v>1090</v>
      </c>
      <c r="C182" s="142" t="s">
        <v>1414</v>
      </c>
      <c r="D182" s="142" t="s">
        <v>1116</v>
      </c>
      <c r="E182" s="142"/>
      <c r="F182" s="142"/>
      <c r="G182" s="142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A183" s="142" t="s">
        <v>1415</v>
      </c>
      <c r="B183" s="143" t="s">
        <v>1090</v>
      </c>
      <c r="C183" s="142" t="s">
        <v>1416</v>
      </c>
      <c r="D183" s="142" t="s">
        <v>1116</v>
      </c>
      <c r="E183" s="142"/>
      <c r="F183" s="142"/>
      <c r="G183" s="142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A184" s="142" t="s">
        <v>1417</v>
      </c>
      <c r="B184" s="143" t="s">
        <v>1090</v>
      </c>
      <c r="C184" s="142" t="s">
        <v>1416</v>
      </c>
      <c r="D184" s="142" t="s">
        <v>1116</v>
      </c>
      <c r="E184" s="142"/>
      <c r="F184" s="142"/>
      <c r="G184" s="142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A185" s="142" t="s">
        <v>1418</v>
      </c>
      <c r="B185" s="143" t="s">
        <v>1108</v>
      </c>
      <c r="C185" s="142" t="s">
        <v>1419</v>
      </c>
      <c r="D185" s="142" t="s">
        <v>1087</v>
      </c>
      <c r="E185" s="142"/>
      <c r="F185" s="142"/>
      <c r="G185" s="142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A186" s="142" t="s">
        <v>1420</v>
      </c>
      <c r="B186" s="143" t="s">
        <v>1090</v>
      </c>
      <c r="C186" s="142" t="s">
        <v>1325</v>
      </c>
      <c r="D186" s="142" t="s">
        <v>1087</v>
      </c>
      <c r="E186" s="142"/>
      <c r="F186" s="142"/>
      <c r="G186" s="142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A187" s="143" t="s">
        <v>1421</v>
      </c>
      <c r="B187" s="143" t="s">
        <v>1128</v>
      </c>
      <c r="C187" s="143" t="s">
        <v>1359</v>
      </c>
      <c r="D187" s="143" t="s">
        <v>1116</v>
      </c>
      <c r="E187" s="142"/>
      <c r="F187" s="153">
        <v>46179.0</v>
      </c>
      <c r="G187" s="142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A188" s="143" t="s">
        <v>428</v>
      </c>
      <c r="B188" s="143" t="s">
        <v>1090</v>
      </c>
      <c r="C188" s="143" t="s">
        <v>1422</v>
      </c>
      <c r="D188" s="143" t="s">
        <v>1087</v>
      </c>
      <c r="E188" s="145" t="s">
        <v>1093</v>
      </c>
      <c r="F188" s="153">
        <v>46179.0</v>
      </c>
      <c r="G188" s="142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A189" s="142"/>
      <c r="B189" s="142"/>
      <c r="C189" s="142"/>
      <c r="D189" s="142"/>
      <c r="E189" s="142"/>
      <c r="F189" s="142"/>
      <c r="G189" s="142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42"/>
      <c r="B190" s="142"/>
      <c r="C190" s="142"/>
      <c r="D190" s="142"/>
      <c r="E190" s="142"/>
      <c r="F190" s="142"/>
      <c r="G190" s="142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42"/>
      <c r="B191" s="142"/>
      <c r="C191" s="142"/>
      <c r="D191" s="142"/>
      <c r="E191" s="142"/>
      <c r="F191" s="142"/>
      <c r="G191" s="142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42"/>
      <c r="B192" s="142"/>
      <c r="C192" s="142"/>
      <c r="D192" s="142"/>
      <c r="E192" s="142"/>
      <c r="F192" s="142"/>
      <c r="G192" s="142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42"/>
      <c r="B193" s="142"/>
      <c r="C193" s="142"/>
      <c r="D193" s="142"/>
      <c r="E193" s="142"/>
      <c r="F193" s="142"/>
      <c r="G193" s="142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42"/>
      <c r="B194" s="142"/>
      <c r="C194" s="142"/>
      <c r="D194" s="142"/>
      <c r="E194" s="142"/>
      <c r="F194" s="142"/>
      <c r="G194" s="142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42"/>
      <c r="B195" s="142"/>
      <c r="C195" s="142"/>
      <c r="D195" s="142"/>
      <c r="E195" s="142"/>
      <c r="F195" s="142"/>
      <c r="G195" s="142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42"/>
      <c r="B196" s="142"/>
      <c r="C196" s="142"/>
      <c r="D196" s="142"/>
      <c r="E196" s="142"/>
      <c r="F196" s="142"/>
      <c r="G196" s="142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42"/>
      <c r="B197" s="142"/>
      <c r="C197" s="142"/>
      <c r="D197" s="142"/>
      <c r="E197" s="142"/>
      <c r="F197" s="142"/>
      <c r="G197" s="142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42"/>
      <c r="B198" s="142"/>
      <c r="C198" s="142"/>
      <c r="D198" s="142"/>
      <c r="E198" s="142"/>
      <c r="F198" s="142"/>
      <c r="G198" s="142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42"/>
      <c r="B199" s="142"/>
      <c r="C199" s="142"/>
      <c r="D199" s="142"/>
      <c r="E199" s="142"/>
      <c r="F199" s="142"/>
      <c r="G199" s="142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42"/>
      <c r="B200" s="142"/>
      <c r="C200" s="142"/>
      <c r="D200" s="142"/>
      <c r="E200" s="142"/>
      <c r="F200" s="142"/>
      <c r="G200" s="142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42"/>
      <c r="B201" s="142"/>
      <c r="C201" s="142"/>
      <c r="D201" s="142"/>
      <c r="E201" s="142"/>
      <c r="F201" s="142"/>
      <c r="G201" s="142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42"/>
      <c r="B202" s="142"/>
      <c r="C202" s="142"/>
      <c r="D202" s="142"/>
      <c r="E202" s="142"/>
      <c r="F202" s="142"/>
      <c r="G202" s="142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42"/>
      <c r="B203" s="142"/>
      <c r="C203" s="142"/>
      <c r="D203" s="142"/>
      <c r="E203" s="142"/>
      <c r="F203" s="142"/>
      <c r="G203" s="142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42"/>
      <c r="B204" s="142"/>
      <c r="C204" s="142"/>
      <c r="D204" s="142"/>
      <c r="E204" s="142"/>
      <c r="F204" s="142"/>
      <c r="G204" s="142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42"/>
      <c r="B205" s="142"/>
      <c r="C205" s="142"/>
      <c r="D205" s="142"/>
      <c r="E205" s="142"/>
      <c r="F205" s="142"/>
      <c r="G205" s="142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42"/>
      <c r="B206" s="142"/>
      <c r="C206" s="142"/>
      <c r="D206" s="142"/>
      <c r="E206" s="142"/>
      <c r="F206" s="142"/>
      <c r="G206" s="142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42"/>
      <c r="B207" s="142"/>
      <c r="C207" s="142"/>
      <c r="D207" s="142"/>
      <c r="E207" s="142"/>
      <c r="F207" s="142"/>
      <c r="G207" s="142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42"/>
      <c r="B208" s="142"/>
      <c r="C208" s="142"/>
      <c r="D208" s="142"/>
      <c r="E208" s="142"/>
      <c r="F208" s="142"/>
      <c r="G208" s="142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42"/>
      <c r="B209" s="142"/>
      <c r="C209" s="142"/>
      <c r="D209" s="142"/>
      <c r="E209" s="142"/>
      <c r="F209" s="142"/>
      <c r="G209" s="142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42"/>
      <c r="B210" s="142"/>
      <c r="C210" s="142"/>
      <c r="D210" s="142"/>
      <c r="E210" s="142"/>
      <c r="F210" s="142"/>
      <c r="G210" s="142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42"/>
      <c r="B211" s="142"/>
      <c r="C211" s="142"/>
      <c r="D211" s="142"/>
      <c r="E211" s="142"/>
      <c r="F211" s="142"/>
      <c r="G211" s="142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42"/>
      <c r="B212" s="142"/>
      <c r="C212" s="142"/>
      <c r="D212" s="142"/>
      <c r="E212" s="142"/>
      <c r="F212" s="142"/>
      <c r="G212" s="142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42"/>
      <c r="B213" s="142"/>
      <c r="C213" s="142"/>
      <c r="D213" s="142"/>
      <c r="E213" s="142"/>
      <c r="F213" s="142"/>
      <c r="G213" s="142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42"/>
      <c r="B214" s="142"/>
      <c r="C214" s="142"/>
      <c r="D214" s="142"/>
      <c r="E214" s="142"/>
      <c r="F214" s="142"/>
      <c r="G214" s="142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42"/>
      <c r="B215" s="142"/>
      <c r="C215" s="142"/>
      <c r="D215" s="142"/>
      <c r="E215" s="142"/>
      <c r="F215" s="142"/>
      <c r="G215" s="142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42"/>
      <c r="B216" s="142"/>
      <c r="C216" s="142"/>
      <c r="D216" s="142"/>
      <c r="E216" s="142"/>
      <c r="F216" s="142"/>
      <c r="G216" s="142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42"/>
      <c r="B217" s="142"/>
      <c r="C217" s="142"/>
      <c r="D217" s="142"/>
      <c r="E217" s="142"/>
      <c r="F217" s="142"/>
      <c r="G217" s="142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42"/>
      <c r="B218" s="142"/>
      <c r="C218" s="142"/>
      <c r="D218" s="142"/>
      <c r="E218" s="142"/>
      <c r="F218" s="142"/>
      <c r="G218" s="142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42"/>
      <c r="B219" s="142"/>
      <c r="C219" s="142"/>
      <c r="D219" s="142"/>
      <c r="E219" s="142"/>
      <c r="F219" s="142"/>
      <c r="G219" s="142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42"/>
      <c r="B220" s="142"/>
      <c r="C220" s="142"/>
      <c r="D220" s="142"/>
      <c r="E220" s="142"/>
      <c r="F220" s="142"/>
      <c r="G220" s="142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42"/>
      <c r="B221" s="142"/>
      <c r="C221" s="142"/>
      <c r="D221" s="142"/>
      <c r="E221" s="142"/>
      <c r="F221" s="142"/>
      <c r="G221" s="142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42"/>
      <c r="B222" s="142"/>
      <c r="C222" s="142"/>
      <c r="D222" s="142"/>
      <c r="E222" s="142"/>
      <c r="F222" s="142"/>
      <c r="G222" s="142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42"/>
      <c r="B223" s="142"/>
      <c r="C223" s="142"/>
      <c r="D223" s="142"/>
      <c r="E223" s="142"/>
      <c r="F223" s="142"/>
      <c r="G223" s="142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42"/>
      <c r="B224" s="142"/>
      <c r="C224" s="142"/>
      <c r="D224" s="142"/>
      <c r="E224" s="142"/>
      <c r="F224" s="142"/>
      <c r="G224" s="142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42"/>
      <c r="B225" s="142"/>
      <c r="C225" s="142"/>
      <c r="D225" s="142"/>
      <c r="E225" s="142"/>
      <c r="F225" s="142"/>
      <c r="G225" s="142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42"/>
      <c r="B226" s="142"/>
      <c r="C226" s="142"/>
      <c r="D226" s="142"/>
      <c r="E226" s="142"/>
      <c r="F226" s="142"/>
      <c r="G226" s="142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42"/>
      <c r="B227" s="142"/>
      <c r="C227" s="142"/>
      <c r="D227" s="142"/>
      <c r="E227" s="142"/>
      <c r="F227" s="142"/>
      <c r="G227" s="142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42"/>
      <c r="B228" s="142"/>
      <c r="C228" s="142"/>
      <c r="D228" s="142"/>
      <c r="E228" s="142"/>
      <c r="F228" s="142"/>
      <c r="G228" s="142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42"/>
      <c r="B229" s="142"/>
      <c r="C229" s="142"/>
      <c r="D229" s="142"/>
      <c r="E229" s="142"/>
      <c r="F229" s="142"/>
      <c r="G229" s="142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42"/>
      <c r="B230" s="142"/>
      <c r="C230" s="142"/>
      <c r="D230" s="142"/>
      <c r="E230" s="142"/>
      <c r="F230" s="142"/>
      <c r="G230" s="142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42"/>
      <c r="B231" s="142"/>
      <c r="C231" s="142"/>
      <c r="D231" s="142"/>
      <c r="E231" s="142"/>
      <c r="F231" s="142"/>
      <c r="G231" s="142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42"/>
      <c r="B232" s="142"/>
      <c r="C232" s="142"/>
      <c r="D232" s="142"/>
      <c r="E232" s="142"/>
      <c r="F232" s="142"/>
      <c r="G232" s="142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42"/>
      <c r="B233" s="142"/>
      <c r="C233" s="142"/>
      <c r="D233" s="142"/>
      <c r="E233" s="142"/>
      <c r="F233" s="142"/>
      <c r="G233" s="142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42"/>
      <c r="B234" s="142"/>
      <c r="C234" s="142"/>
      <c r="D234" s="142"/>
      <c r="E234" s="142"/>
      <c r="F234" s="142"/>
      <c r="G234" s="142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42"/>
      <c r="B235" s="142"/>
      <c r="C235" s="142"/>
      <c r="D235" s="142"/>
      <c r="E235" s="142"/>
      <c r="F235" s="142"/>
      <c r="G235" s="142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42"/>
      <c r="B236" s="142"/>
      <c r="C236" s="142"/>
      <c r="D236" s="142"/>
      <c r="E236" s="142"/>
      <c r="F236" s="142"/>
      <c r="G236" s="142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42"/>
      <c r="B237" s="142"/>
      <c r="C237" s="142"/>
      <c r="D237" s="142"/>
      <c r="E237" s="142"/>
      <c r="F237" s="142"/>
      <c r="G237" s="142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42"/>
      <c r="B238" s="142"/>
      <c r="C238" s="142"/>
      <c r="D238" s="142"/>
      <c r="E238" s="142"/>
      <c r="F238" s="142"/>
      <c r="G238" s="142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42"/>
      <c r="B239" s="142"/>
      <c r="C239" s="142"/>
      <c r="D239" s="142"/>
      <c r="E239" s="142"/>
      <c r="F239" s="142"/>
      <c r="G239" s="142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42"/>
      <c r="B240" s="142"/>
      <c r="C240" s="142"/>
      <c r="D240" s="142"/>
      <c r="E240" s="142"/>
      <c r="F240" s="142"/>
      <c r="G240" s="142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42"/>
      <c r="B241" s="142"/>
      <c r="C241" s="142"/>
      <c r="D241" s="142"/>
      <c r="E241" s="142"/>
      <c r="F241" s="142"/>
      <c r="G241" s="142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42"/>
      <c r="B242" s="142"/>
      <c r="C242" s="142"/>
      <c r="D242" s="142"/>
      <c r="E242" s="142"/>
      <c r="F242" s="142"/>
      <c r="G242" s="142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42"/>
      <c r="B243" s="142"/>
      <c r="C243" s="142"/>
      <c r="D243" s="142"/>
      <c r="E243" s="142"/>
      <c r="F243" s="142"/>
      <c r="G243" s="142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42"/>
      <c r="B244" s="142"/>
      <c r="C244" s="142"/>
      <c r="D244" s="142"/>
      <c r="E244" s="142"/>
      <c r="F244" s="142"/>
      <c r="G244" s="142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42"/>
      <c r="B245" s="142"/>
      <c r="C245" s="142"/>
      <c r="D245" s="142"/>
      <c r="E245" s="142"/>
      <c r="F245" s="142"/>
      <c r="G245" s="142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42"/>
      <c r="B246" s="142"/>
      <c r="C246" s="142"/>
      <c r="D246" s="142"/>
      <c r="E246" s="142"/>
      <c r="F246" s="142"/>
      <c r="G246" s="142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42"/>
      <c r="B247" s="142"/>
      <c r="C247" s="142"/>
      <c r="D247" s="142"/>
      <c r="E247" s="142"/>
      <c r="F247" s="142"/>
      <c r="G247" s="142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42"/>
      <c r="B248" s="142"/>
      <c r="C248" s="142"/>
      <c r="D248" s="142"/>
      <c r="E248" s="142"/>
      <c r="F248" s="142"/>
      <c r="G248" s="142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42"/>
      <c r="B249" s="142"/>
      <c r="C249" s="142"/>
      <c r="D249" s="142"/>
      <c r="E249" s="142"/>
      <c r="F249" s="142"/>
      <c r="G249" s="142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42"/>
      <c r="B250" s="142"/>
      <c r="C250" s="142"/>
      <c r="D250" s="142"/>
      <c r="E250" s="142"/>
      <c r="F250" s="142"/>
      <c r="G250" s="142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42"/>
      <c r="B251" s="142"/>
      <c r="C251" s="142"/>
      <c r="D251" s="142"/>
      <c r="E251" s="142"/>
      <c r="F251" s="142"/>
      <c r="G251" s="142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42"/>
      <c r="B252" s="142"/>
      <c r="C252" s="142"/>
      <c r="D252" s="142"/>
      <c r="E252" s="142"/>
      <c r="F252" s="142"/>
      <c r="G252" s="142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42"/>
      <c r="B253" s="142"/>
      <c r="C253" s="142"/>
      <c r="D253" s="142"/>
      <c r="E253" s="142"/>
      <c r="F253" s="142"/>
      <c r="G253" s="142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42"/>
      <c r="B254" s="142"/>
      <c r="C254" s="142"/>
      <c r="D254" s="142"/>
      <c r="E254" s="142"/>
      <c r="F254" s="142"/>
      <c r="G254" s="142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42"/>
      <c r="B255" s="142"/>
      <c r="C255" s="142"/>
      <c r="D255" s="142"/>
      <c r="E255" s="142"/>
      <c r="F255" s="142"/>
      <c r="G255" s="142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42"/>
      <c r="B256" s="142"/>
      <c r="C256" s="142"/>
      <c r="D256" s="142"/>
      <c r="E256" s="142"/>
      <c r="F256" s="142"/>
      <c r="G256" s="142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42"/>
      <c r="B257" s="142"/>
      <c r="C257" s="142"/>
      <c r="D257" s="142"/>
      <c r="E257" s="142"/>
      <c r="F257" s="142"/>
      <c r="G257" s="142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42"/>
      <c r="B258" s="142"/>
      <c r="C258" s="142"/>
      <c r="D258" s="142"/>
      <c r="E258" s="142"/>
      <c r="F258" s="142"/>
      <c r="G258" s="142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42"/>
      <c r="B259" s="142"/>
      <c r="C259" s="142"/>
      <c r="D259" s="142"/>
      <c r="E259" s="142"/>
      <c r="F259" s="142"/>
      <c r="G259" s="142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42"/>
      <c r="B260" s="142"/>
      <c r="C260" s="142"/>
      <c r="D260" s="142"/>
      <c r="E260" s="142"/>
      <c r="F260" s="142"/>
      <c r="G260" s="142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42"/>
      <c r="B261" s="142"/>
      <c r="C261" s="142"/>
      <c r="D261" s="142"/>
      <c r="E261" s="142"/>
      <c r="F261" s="142"/>
      <c r="G261" s="142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42"/>
      <c r="B262" s="142"/>
      <c r="C262" s="142"/>
      <c r="D262" s="142"/>
      <c r="E262" s="142"/>
      <c r="F262" s="142"/>
      <c r="G262" s="142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42"/>
      <c r="B263" s="142"/>
      <c r="C263" s="142"/>
      <c r="D263" s="142"/>
      <c r="E263" s="142"/>
      <c r="F263" s="142"/>
      <c r="G263" s="142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42"/>
      <c r="B264" s="142"/>
      <c r="C264" s="142"/>
      <c r="D264" s="142"/>
      <c r="E264" s="142"/>
      <c r="F264" s="142"/>
      <c r="G264" s="142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42"/>
      <c r="B265" s="142"/>
      <c r="C265" s="142"/>
      <c r="D265" s="142"/>
      <c r="E265" s="142"/>
      <c r="F265" s="142"/>
      <c r="G265" s="142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42"/>
      <c r="B266" s="142"/>
      <c r="C266" s="142"/>
      <c r="D266" s="142"/>
      <c r="E266" s="142"/>
      <c r="F266" s="142"/>
      <c r="G266" s="142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42"/>
      <c r="B267" s="142"/>
      <c r="C267" s="142"/>
      <c r="D267" s="142"/>
      <c r="E267" s="142"/>
      <c r="F267" s="142"/>
      <c r="G267" s="142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42"/>
      <c r="B268" s="142"/>
      <c r="C268" s="142"/>
      <c r="D268" s="142"/>
      <c r="E268" s="142"/>
      <c r="F268" s="142"/>
      <c r="G268" s="142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42"/>
      <c r="B269" s="142"/>
      <c r="C269" s="142"/>
      <c r="D269" s="142"/>
      <c r="E269" s="142"/>
      <c r="F269" s="142"/>
      <c r="G269" s="142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42"/>
      <c r="B270" s="142"/>
      <c r="C270" s="142"/>
      <c r="D270" s="142"/>
      <c r="E270" s="142"/>
      <c r="F270" s="142"/>
      <c r="G270" s="142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42"/>
      <c r="B271" s="142"/>
      <c r="C271" s="142"/>
      <c r="D271" s="142"/>
      <c r="E271" s="142"/>
      <c r="F271" s="142"/>
      <c r="G271" s="142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42"/>
      <c r="B272" s="142"/>
      <c r="C272" s="142"/>
      <c r="D272" s="142"/>
      <c r="E272" s="142"/>
      <c r="F272" s="142"/>
      <c r="G272" s="142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42"/>
      <c r="B273" s="142"/>
      <c r="C273" s="142"/>
      <c r="D273" s="142"/>
      <c r="E273" s="142"/>
      <c r="F273" s="142"/>
      <c r="G273" s="142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42"/>
      <c r="B274" s="142"/>
      <c r="C274" s="142"/>
      <c r="D274" s="142"/>
      <c r="E274" s="142"/>
      <c r="F274" s="142"/>
      <c r="G274" s="142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42"/>
      <c r="B275" s="142"/>
      <c r="C275" s="142"/>
      <c r="D275" s="142"/>
      <c r="E275" s="142"/>
      <c r="F275" s="142"/>
      <c r="G275" s="142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42"/>
      <c r="B276" s="142"/>
      <c r="C276" s="142"/>
      <c r="D276" s="142"/>
      <c r="E276" s="142"/>
      <c r="F276" s="142"/>
      <c r="G276" s="142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42"/>
      <c r="B277" s="142"/>
      <c r="C277" s="142"/>
      <c r="D277" s="142"/>
      <c r="E277" s="142"/>
      <c r="F277" s="142"/>
      <c r="G277" s="142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42"/>
      <c r="B278" s="142"/>
      <c r="C278" s="142"/>
      <c r="D278" s="142"/>
      <c r="E278" s="142"/>
      <c r="F278" s="142"/>
      <c r="G278" s="142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42"/>
      <c r="B279" s="142"/>
      <c r="C279" s="142"/>
      <c r="D279" s="142"/>
      <c r="E279" s="142"/>
      <c r="F279" s="142"/>
      <c r="G279" s="142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42"/>
      <c r="B280" s="142"/>
      <c r="C280" s="142"/>
      <c r="D280" s="142"/>
      <c r="E280" s="142"/>
      <c r="F280" s="142"/>
      <c r="G280" s="142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42"/>
      <c r="B281" s="142"/>
      <c r="C281" s="142"/>
      <c r="D281" s="142"/>
      <c r="E281" s="142"/>
      <c r="F281" s="142"/>
      <c r="G281" s="142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42"/>
      <c r="B282" s="142"/>
      <c r="C282" s="142"/>
      <c r="D282" s="142"/>
      <c r="E282" s="142"/>
      <c r="F282" s="142"/>
      <c r="G282" s="142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42"/>
      <c r="B283" s="142"/>
      <c r="C283" s="142"/>
      <c r="D283" s="142"/>
      <c r="E283" s="142"/>
      <c r="F283" s="142"/>
      <c r="G283" s="142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42"/>
      <c r="B284" s="142"/>
      <c r="C284" s="142"/>
      <c r="D284" s="142"/>
      <c r="E284" s="142"/>
      <c r="F284" s="142"/>
      <c r="G284" s="142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42"/>
      <c r="B285" s="142"/>
      <c r="C285" s="142"/>
      <c r="D285" s="142"/>
      <c r="E285" s="142"/>
      <c r="F285" s="142"/>
      <c r="G285" s="142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42"/>
      <c r="B286" s="142"/>
      <c r="C286" s="142"/>
      <c r="D286" s="142"/>
      <c r="E286" s="142"/>
      <c r="F286" s="142"/>
      <c r="G286" s="142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42"/>
      <c r="B287" s="142"/>
      <c r="C287" s="142"/>
      <c r="D287" s="142"/>
      <c r="E287" s="142"/>
      <c r="F287" s="142"/>
      <c r="G287" s="142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42"/>
      <c r="B288" s="142"/>
      <c r="C288" s="142"/>
      <c r="D288" s="142"/>
      <c r="E288" s="142"/>
      <c r="F288" s="142"/>
      <c r="G288" s="142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42"/>
      <c r="B289" s="142"/>
      <c r="C289" s="142"/>
      <c r="D289" s="142"/>
      <c r="E289" s="142"/>
      <c r="F289" s="142"/>
      <c r="G289" s="142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42"/>
      <c r="B290" s="142"/>
      <c r="C290" s="142"/>
      <c r="D290" s="142"/>
      <c r="E290" s="142"/>
      <c r="F290" s="142"/>
      <c r="G290" s="142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42"/>
      <c r="B291" s="142"/>
      <c r="C291" s="142"/>
      <c r="D291" s="142"/>
      <c r="E291" s="142"/>
      <c r="F291" s="142"/>
      <c r="G291" s="142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42"/>
      <c r="B292" s="142"/>
      <c r="C292" s="142"/>
      <c r="D292" s="142"/>
      <c r="E292" s="142"/>
      <c r="F292" s="142"/>
      <c r="G292" s="142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42"/>
      <c r="B293" s="142"/>
      <c r="C293" s="142"/>
      <c r="D293" s="142"/>
      <c r="E293" s="142"/>
      <c r="F293" s="142"/>
      <c r="G293" s="142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42"/>
      <c r="B294" s="142"/>
      <c r="C294" s="142"/>
      <c r="D294" s="142"/>
      <c r="E294" s="142"/>
      <c r="F294" s="142"/>
      <c r="G294" s="142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42"/>
      <c r="B295" s="142"/>
      <c r="C295" s="142"/>
      <c r="D295" s="142"/>
      <c r="E295" s="142"/>
      <c r="F295" s="142"/>
      <c r="G295" s="142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42"/>
      <c r="B296" s="142"/>
      <c r="C296" s="142"/>
      <c r="D296" s="142"/>
      <c r="E296" s="142"/>
      <c r="F296" s="142"/>
      <c r="G296" s="142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42"/>
      <c r="B297" s="142"/>
      <c r="C297" s="142"/>
      <c r="D297" s="142"/>
      <c r="E297" s="142"/>
      <c r="F297" s="142"/>
      <c r="G297" s="142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42"/>
      <c r="B298" s="142"/>
      <c r="C298" s="142"/>
      <c r="D298" s="142"/>
      <c r="E298" s="142"/>
      <c r="F298" s="142"/>
      <c r="G298" s="142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42"/>
      <c r="B299" s="142"/>
      <c r="C299" s="142"/>
      <c r="D299" s="142"/>
      <c r="E299" s="142"/>
      <c r="F299" s="142"/>
      <c r="G299" s="142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42"/>
      <c r="B300" s="142"/>
      <c r="C300" s="142"/>
      <c r="D300" s="142"/>
      <c r="E300" s="142"/>
      <c r="F300" s="142"/>
      <c r="G300" s="142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42"/>
      <c r="B301" s="142"/>
      <c r="C301" s="142"/>
      <c r="D301" s="142"/>
      <c r="E301" s="142"/>
      <c r="F301" s="142"/>
      <c r="G301" s="142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42"/>
      <c r="B302" s="142"/>
      <c r="C302" s="142"/>
      <c r="D302" s="142"/>
      <c r="E302" s="142"/>
      <c r="F302" s="142"/>
      <c r="G302" s="142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42"/>
      <c r="B303" s="142"/>
      <c r="C303" s="142"/>
      <c r="D303" s="142"/>
      <c r="E303" s="142"/>
      <c r="F303" s="142"/>
      <c r="G303" s="142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42"/>
      <c r="B304" s="142"/>
      <c r="C304" s="142"/>
      <c r="D304" s="142"/>
      <c r="E304" s="142"/>
      <c r="F304" s="142"/>
      <c r="G304" s="142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42"/>
      <c r="B305" s="142"/>
      <c r="C305" s="142"/>
      <c r="D305" s="142"/>
      <c r="E305" s="142"/>
      <c r="F305" s="142"/>
      <c r="G305" s="142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42"/>
      <c r="B306" s="142"/>
      <c r="C306" s="142"/>
      <c r="D306" s="142"/>
      <c r="E306" s="142"/>
      <c r="F306" s="142"/>
      <c r="G306" s="142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42"/>
      <c r="B307" s="142"/>
      <c r="C307" s="142"/>
      <c r="D307" s="142"/>
      <c r="E307" s="142"/>
      <c r="F307" s="142"/>
      <c r="G307" s="142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42"/>
      <c r="B308" s="142"/>
      <c r="C308" s="142"/>
      <c r="D308" s="142"/>
      <c r="E308" s="142"/>
      <c r="F308" s="142"/>
      <c r="G308" s="142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42"/>
      <c r="B309" s="142"/>
      <c r="C309" s="142"/>
      <c r="D309" s="142"/>
      <c r="E309" s="142"/>
      <c r="F309" s="142"/>
      <c r="G309" s="142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42"/>
      <c r="B310" s="142"/>
      <c r="C310" s="142"/>
      <c r="D310" s="142"/>
      <c r="E310" s="142"/>
      <c r="F310" s="142"/>
      <c r="G310" s="142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42"/>
      <c r="B311" s="142"/>
      <c r="C311" s="142"/>
      <c r="D311" s="142"/>
      <c r="E311" s="142"/>
      <c r="F311" s="142"/>
      <c r="G311" s="142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42"/>
      <c r="B312" s="142"/>
      <c r="C312" s="142"/>
      <c r="D312" s="142"/>
      <c r="E312" s="142"/>
      <c r="F312" s="142"/>
      <c r="G312" s="142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42"/>
      <c r="B313" s="142"/>
      <c r="C313" s="142"/>
      <c r="D313" s="142"/>
      <c r="E313" s="142"/>
      <c r="F313" s="142"/>
      <c r="G313" s="142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42"/>
      <c r="B314" s="142"/>
      <c r="C314" s="142"/>
      <c r="D314" s="142"/>
      <c r="E314" s="142"/>
      <c r="F314" s="142"/>
      <c r="G314" s="142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42"/>
      <c r="B315" s="142"/>
      <c r="C315" s="142"/>
      <c r="D315" s="142"/>
      <c r="E315" s="142"/>
      <c r="F315" s="142"/>
      <c r="G315" s="142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42"/>
      <c r="B316" s="142"/>
      <c r="C316" s="142"/>
      <c r="D316" s="142"/>
      <c r="E316" s="142"/>
      <c r="F316" s="142"/>
      <c r="G316" s="142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42"/>
      <c r="B317" s="142"/>
      <c r="C317" s="142"/>
      <c r="D317" s="142"/>
      <c r="E317" s="142"/>
      <c r="F317" s="142"/>
      <c r="G317" s="142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42"/>
      <c r="B318" s="142"/>
      <c r="C318" s="142"/>
      <c r="D318" s="142"/>
      <c r="E318" s="142"/>
      <c r="F318" s="142"/>
      <c r="G318" s="142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42"/>
      <c r="B319" s="142"/>
      <c r="C319" s="142"/>
      <c r="D319" s="142"/>
      <c r="E319" s="142"/>
      <c r="F319" s="142"/>
      <c r="G319" s="142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42"/>
      <c r="B320" s="142"/>
      <c r="C320" s="142"/>
      <c r="D320" s="142"/>
      <c r="E320" s="142"/>
      <c r="F320" s="142"/>
      <c r="G320" s="142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42"/>
      <c r="B321" s="142"/>
      <c r="C321" s="142"/>
      <c r="D321" s="142"/>
      <c r="E321" s="142"/>
      <c r="F321" s="142"/>
      <c r="G321" s="142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42"/>
      <c r="B322" s="142"/>
      <c r="C322" s="142"/>
      <c r="D322" s="142"/>
      <c r="E322" s="142"/>
      <c r="F322" s="142"/>
      <c r="G322" s="142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42"/>
      <c r="B323" s="142"/>
      <c r="C323" s="142"/>
      <c r="D323" s="142"/>
      <c r="E323" s="142"/>
      <c r="F323" s="142"/>
      <c r="G323" s="142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42"/>
      <c r="B324" s="142"/>
      <c r="C324" s="142"/>
      <c r="D324" s="142"/>
      <c r="E324" s="142"/>
      <c r="F324" s="142"/>
      <c r="G324" s="142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42"/>
      <c r="B325" s="142"/>
      <c r="C325" s="142"/>
      <c r="D325" s="142"/>
      <c r="E325" s="142"/>
      <c r="F325" s="142"/>
      <c r="G325" s="142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42"/>
      <c r="B326" s="142"/>
      <c r="C326" s="142"/>
      <c r="D326" s="142"/>
      <c r="E326" s="142"/>
      <c r="F326" s="142"/>
      <c r="G326" s="142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42"/>
      <c r="B327" s="142"/>
      <c r="C327" s="142"/>
      <c r="D327" s="142"/>
      <c r="E327" s="142"/>
      <c r="F327" s="142"/>
      <c r="G327" s="142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42"/>
      <c r="B328" s="142"/>
      <c r="C328" s="142"/>
      <c r="D328" s="142"/>
      <c r="E328" s="142"/>
      <c r="F328" s="142"/>
      <c r="G328" s="142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42"/>
      <c r="B329" s="142"/>
      <c r="C329" s="142"/>
      <c r="D329" s="142"/>
      <c r="E329" s="142"/>
      <c r="F329" s="142"/>
      <c r="G329" s="142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42"/>
      <c r="B330" s="142"/>
      <c r="C330" s="142"/>
      <c r="D330" s="142"/>
      <c r="E330" s="142"/>
      <c r="F330" s="142"/>
      <c r="G330" s="142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42"/>
      <c r="B331" s="142"/>
      <c r="C331" s="142"/>
      <c r="D331" s="142"/>
      <c r="E331" s="142"/>
      <c r="F331" s="142"/>
      <c r="G331" s="142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42"/>
      <c r="B332" s="142"/>
      <c r="C332" s="142"/>
      <c r="D332" s="142"/>
      <c r="E332" s="142"/>
      <c r="F332" s="142"/>
      <c r="G332" s="142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42"/>
      <c r="B333" s="142"/>
      <c r="C333" s="142"/>
      <c r="D333" s="142"/>
      <c r="E333" s="142"/>
      <c r="F333" s="142"/>
      <c r="G333" s="142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42"/>
      <c r="B334" s="142"/>
      <c r="C334" s="142"/>
      <c r="D334" s="142"/>
      <c r="E334" s="142"/>
      <c r="F334" s="142"/>
      <c r="G334" s="142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42"/>
      <c r="B335" s="142"/>
      <c r="C335" s="142"/>
      <c r="D335" s="142"/>
      <c r="E335" s="142"/>
      <c r="F335" s="142"/>
      <c r="G335" s="142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42"/>
      <c r="B336" s="142"/>
      <c r="C336" s="142"/>
      <c r="D336" s="142"/>
      <c r="E336" s="142"/>
      <c r="F336" s="142"/>
      <c r="G336" s="142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42"/>
      <c r="B337" s="142"/>
      <c r="C337" s="142"/>
      <c r="D337" s="142"/>
      <c r="E337" s="142"/>
      <c r="F337" s="142"/>
      <c r="G337" s="142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42"/>
      <c r="B338" s="142"/>
      <c r="C338" s="142"/>
      <c r="D338" s="142"/>
      <c r="E338" s="142"/>
      <c r="F338" s="142"/>
      <c r="G338" s="142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42"/>
      <c r="B339" s="142"/>
      <c r="C339" s="142"/>
      <c r="D339" s="142"/>
      <c r="E339" s="142"/>
      <c r="F339" s="142"/>
      <c r="G339" s="142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42"/>
      <c r="B340" s="142"/>
      <c r="C340" s="142"/>
      <c r="D340" s="142"/>
      <c r="E340" s="142"/>
      <c r="F340" s="142"/>
      <c r="G340" s="142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42"/>
      <c r="B341" s="142"/>
      <c r="C341" s="142"/>
      <c r="D341" s="142"/>
      <c r="E341" s="142"/>
      <c r="F341" s="142"/>
      <c r="G341" s="142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42"/>
      <c r="B342" s="142"/>
      <c r="C342" s="142"/>
      <c r="D342" s="142"/>
      <c r="E342" s="142"/>
      <c r="F342" s="142"/>
      <c r="G342" s="142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42"/>
      <c r="B343" s="142"/>
      <c r="C343" s="142"/>
      <c r="D343" s="142"/>
      <c r="E343" s="142"/>
      <c r="F343" s="142"/>
      <c r="G343" s="142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42"/>
      <c r="B344" s="142"/>
      <c r="C344" s="142"/>
      <c r="D344" s="142"/>
      <c r="E344" s="142"/>
      <c r="F344" s="142"/>
      <c r="G344" s="142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42"/>
      <c r="B345" s="142"/>
      <c r="C345" s="142"/>
      <c r="D345" s="142"/>
      <c r="E345" s="142"/>
      <c r="F345" s="142"/>
      <c r="G345" s="142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42"/>
      <c r="B346" s="142"/>
      <c r="C346" s="142"/>
      <c r="D346" s="142"/>
      <c r="E346" s="142"/>
      <c r="F346" s="142"/>
      <c r="G346" s="142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42"/>
      <c r="B347" s="142"/>
      <c r="C347" s="142"/>
      <c r="D347" s="142"/>
      <c r="E347" s="142"/>
      <c r="F347" s="142"/>
      <c r="G347" s="142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42"/>
      <c r="B348" s="142"/>
      <c r="C348" s="142"/>
      <c r="D348" s="142"/>
      <c r="E348" s="142"/>
      <c r="F348" s="142"/>
      <c r="G348" s="142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42"/>
      <c r="B349" s="142"/>
      <c r="C349" s="142"/>
      <c r="D349" s="142"/>
      <c r="E349" s="142"/>
      <c r="F349" s="142"/>
      <c r="G349" s="142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42"/>
      <c r="B350" s="142"/>
      <c r="C350" s="142"/>
      <c r="D350" s="142"/>
      <c r="E350" s="142"/>
      <c r="F350" s="142"/>
      <c r="G350" s="142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42"/>
      <c r="B351" s="142"/>
      <c r="C351" s="142"/>
      <c r="D351" s="142"/>
      <c r="E351" s="142"/>
      <c r="F351" s="142"/>
      <c r="G351" s="142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42"/>
      <c r="B352" s="142"/>
      <c r="C352" s="142"/>
      <c r="D352" s="142"/>
      <c r="E352" s="142"/>
      <c r="F352" s="142"/>
      <c r="G352" s="142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42"/>
      <c r="B353" s="142"/>
      <c r="C353" s="142"/>
      <c r="D353" s="142"/>
      <c r="E353" s="142"/>
      <c r="F353" s="142"/>
      <c r="G353" s="142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42"/>
      <c r="B354" s="142"/>
      <c r="C354" s="142"/>
      <c r="D354" s="142"/>
      <c r="E354" s="142"/>
      <c r="F354" s="142"/>
      <c r="G354" s="142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42"/>
      <c r="B355" s="142"/>
      <c r="C355" s="142"/>
      <c r="D355" s="142"/>
      <c r="E355" s="142"/>
      <c r="F355" s="142"/>
      <c r="G355" s="142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42"/>
      <c r="B356" s="142"/>
      <c r="C356" s="142"/>
      <c r="D356" s="142"/>
      <c r="E356" s="142"/>
      <c r="F356" s="142"/>
      <c r="G356" s="142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42"/>
      <c r="B357" s="142"/>
      <c r="C357" s="142"/>
      <c r="D357" s="142"/>
      <c r="E357" s="142"/>
      <c r="F357" s="142"/>
      <c r="G357" s="142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42"/>
      <c r="B358" s="142"/>
      <c r="C358" s="142"/>
      <c r="D358" s="142"/>
      <c r="E358" s="142"/>
      <c r="F358" s="142"/>
      <c r="G358" s="142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42"/>
      <c r="B359" s="142"/>
      <c r="C359" s="142"/>
      <c r="D359" s="142"/>
      <c r="E359" s="142"/>
      <c r="F359" s="142"/>
      <c r="G359" s="142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42"/>
      <c r="B360" s="142"/>
      <c r="C360" s="142"/>
      <c r="D360" s="142"/>
      <c r="E360" s="142"/>
      <c r="F360" s="142"/>
      <c r="G360" s="142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42"/>
      <c r="B361" s="142"/>
      <c r="C361" s="142"/>
      <c r="D361" s="142"/>
      <c r="E361" s="142"/>
      <c r="F361" s="142"/>
      <c r="G361" s="142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42"/>
      <c r="B362" s="142"/>
      <c r="C362" s="142"/>
      <c r="D362" s="142"/>
      <c r="E362" s="142"/>
      <c r="F362" s="142"/>
      <c r="G362" s="142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42"/>
      <c r="B363" s="142"/>
      <c r="C363" s="142"/>
      <c r="D363" s="142"/>
      <c r="E363" s="142"/>
      <c r="F363" s="142"/>
      <c r="G363" s="142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42"/>
      <c r="B364" s="142"/>
      <c r="C364" s="142"/>
      <c r="D364" s="142"/>
      <c r="E364" s="142"/>
      <c r="F364" s="142"/>
      <c r="G364" s="142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42"/>
      <c r="B365" s="142"/>
      <c r="C365" s="142"/>
      <c r="D365" s="142"/>
      <c r="E365" s="142"/>
      <c r="F365" s="142"/>
      <c r="G365" s="142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42"/>
      <c r="B366" s="142"/>
      <c r="C366" s="142"/>
      <c r="D366" s="142"/>
      <c r="E366" s="142"/>
      <c r="F366" s="142"/>
      <c r="G366" s="142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42"/>
      <c r="B367" s="142"/>
      <c r="C367" s="142"/>
      <c r="D367" s="142"/>
      <c r="E367" s="142"/>
      <c r="F367" s="142"/>
      <c r="G367" s="142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42"/>
      <c r="B368" s="142"/>
      <c r="C368" s="142"/>
      <c r="D368" s="142"/>
      <c r="E368" s="142"/>
      <c r="F368" s="142"/>
      <c r="G368" s="142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42"/>
      <c r="B369" s="142"/>
      <c r="C369" s="142"/>
      <c r="D369" s="142"/>
      <c r="E369" s="142"/>
      <c r="F369" s="142"/>
      <c r="G369" s="142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42"/>
      <c r="B370" s="142"/>
      <c r="C370" s="142"/>
      <c r="D370" s="142"/>
      <c r="E370" s="142"/>
      <c r="F370" s="142"/>
      <c r="G370" s="142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42"/>
      <c r="B371" s="142"/>
      <c r="C371" s="142"/>
      <c r="D371" s="142"/>
      <c r="E371" s="142"/>
      <c r="F371" s="142"/>
      <c r="G371" s="142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42"/>
      <c r="B372" s="142"/>
      <c r="C372" s="142"/>
      <c r="D372" s="142"/>
      <c r="E372" s="142"/>
      <c r="F372" s="142"/>
      <c r="G372" s="142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42"/>
      <c r="B373" s="142"/>
      <c r="C373" s="142"/>
      <c r="D373" s="142"/>
      <c r="E373" s="142"/>
      <c r="F373" s="142"/>
      <c r="G373" s="142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42"/>
      <c r="B374" s="142"/>
      <c r="C374" s="142"/>
      <c r="D374" s="142"/>
      <c r="E374" s="142"/>
      <c r="F374" s="142"/>
      <c r="G374" s="142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42"/>
      <c r="B375" s="142"/>
      <c r="C375" s="142"/>
      <c r="D375" s="142"/>
      <c r="E375" s="142"/>
      <c r="F375" s="142"/>
      <c r="G375" s="142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42"/>
      <c r="B376" s="142"/>
      <c r="C376" s="142"/>
      <c r="D376" s="142"/>
      <c r="E376" s="142"/>
      <c r="F376" s="142"/>
      <c r="G376" s="142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42"/>
      <c r="B377" s="142"/>
      <c r="C377" s="142"/>
      <c r="D377" s="142"/>
      <c r="E377" s="142"/>
      <c r="F377" s="142"/>
      <c r="G377" s="142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42"/>
      <c r="B378" s="142"/>
      <c r="C378" s="142"/>
      <c r="D378" s="142"/>
      <c r="E378" s="142"/>
      <c r="F378" s="142"/>
      <c r="G378" s="142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42"/>
      <c r="B379" s="142"/>
      <c r="C379" s="142"/>
      <c r="D379" s="142"/>
      <c r="E379" s="142"/>
      <c r="F379" s="142"/>
      <c r="G379" s="142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42"/>
      <c r="B380" s="142"/>
      <c r="C380" s="142"/>
      <c r="D380" s="142"/>
      <c r="E380" s="142"/>
      <c r="F380" s="142"/>
      <c r="G380" s="142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42"/>
      <c r="B381" s="142"/>
      <c r="C381" s="142"/>
      <c r="D381" s="142"/>
      <c r="E381" s="142"/>
      <c r="F381" s="142"/>
      <c r="G381" s="142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42"/>
      <c r="B382" s="142"/>
      <c r="C382" s="142"/>
      <c r="D382" s="142"/>
      <c r="E382" s="142"/>
      <c r="F382" s="142"/>
      <c r="G382" s="142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42"/>
      <c r="B383" s="142"/>
      <c r="C383" s="142"/>
      <c r="D383" s="142"/>
      <c r="E383" s="142"/>
      <c r="F383" s="142"/>
      <c r="G383" s="142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42"/>
      <c r="B384" s="142"/>
      <c r="C384" s="142"/>
      <c r="D384" s="142"/>
      <c r="E384" s="142"/>
      <c r="F384" s="142"/>
      <c r="G384" s="142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42"/>
      <c r="B385" s="142"/>
      <c r="C385" s="142"/>
      <c r="D385" s="142"/>
      <c r="E385" s="142"/>
      <c r="F385" s="142"/>
      <c r="G385" s="142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42"/>
      <c r="B386" s="142"/>
      <c r="C386" s="142"/>
      <c r="D386" s="142"/>
      <c r="E386" s="142"/>
      <c r="F386" s="142"/>
      <c r="G386" s="142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42"/>
      <c r="B387" s="142"/>
      <c r="C387" s="142"/>
      <c r="D387" s="142"/>
      <c r="E387" s="142"/>
      <c r="F387" s="142"/>
      <c r="G387" s="142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42"/>
      <c r="B388" s="142"/>
      <c r="C388" s="142"/>
      <c r="D388" s="142"/>
      <c r="E388" s="142"/>
      <c r="F388" s="142"/>
      <c r="G388" s="142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42"/>
      <c r="B389" s="142"/>
      <c r="C389" s="142"/>
      <c r="D389" s="142"/>
      <c r="E389" s="142"/>
      <c r="F389" s="142"/>
      <c r="G389" s="142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42"/>
      <c r="B390" s="142"/>
      <c r="C390" s="142"/>
      <c r="D390" s="142"/>
      <c r="E390" s="142"/>
      <c r="F390" s="142"/>
      <c r="G390" s="142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42"/>
      <c r="B391" s="142"/>
      <c r="C391" s="142"/>
      <c r="D391" s="142"/>
      <c r="E391" s="142"/>
      <c r="F391" s="142"/>
      <c r="G391" s="142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42"/>
      <c r="B392" s="142"/>
      <c r="C392" s="142"/>
      <c r="D392" s="142"/>
      <c r="E392" s="142"/>
      <c r="F392" s="142"/>
      <c r="G392" s="142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42"/>
      <c r="B393" s="142"/>
      <c r="C393" s="142"/>
      <c r="D393" s="142"/>
      <c r="E393" s="142"/>
      <c r="F393" s="142"/>
      <c r="G393" s="142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42"/>
      <c r="B394" s="142"/>
      <c r="C394" s="142"/>
      <c r="D394" s="142"/>
      <c r="E394" s="142"/>
      <c r="F394" s="142"/>
      <c r="G394" s="142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42"/>
      <c r="B395" s="142"/>
      <c r="C395" s="142"/>
      <c r="D395" s="142"/>
      <c r="E395" s="142"/>
      <c r="F395" s="142"/>
      <c r="G395" s="142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42"/>
      <c r="B396" s="142"/>
      <c r="C396" s="142"/>
      <c r="D396" s="142"/>
      <c r="E396" s="142"/>
      <c r="F396" s="142"/>
      <c r="G396" s="142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42"/>
      <c r="B397" s="142"/>
      <c r="C397" s="142"/>
      <c r="D397" s="142"/>
      <c r="E397" s="142"/>
      <c r="F397" s="142"/>
      <c r="G397" s="142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42"/>
      <c r="B398" s="142"/>
      <c r="C398" s="142"/>
      <c r="D398" s="142"/>
      <c r="E398" s="142"/>
      <c r="F398" s="142"/>
      <c r="G398" s="142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42"/>
      <c r="B399" s="142"/>
      <c r="C399" s="142"/>
      <c r="D399" s="142"/>
      <c r="E399" s="142"/>
      <c r="F399" s="142"/>
      <c r="G399" s="142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42"/>
      <c r="B400" s="142"/>
      <c r="C400" s="142"/>
      <c r="D400" s="142"/>
      <c r="E400" s="142"/>
      <c r="F400" s="142"/>
      <c r="G400" s="142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42"/>
      <c r="B401" s="142"/>
      <c r="C401" s="142"/>
      <c r="D401" s="142"/>
      <c r="E401" s="142"/>
      <c r="F401" s="142"/>
      <c r="G401" s="142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42"/>
      <c r="B402" s="142"/>
      <c r="C402" s="142"/>
      <c r="D402" s="142"/>
      <c r="E402" s="142"/>
      <c r="F402" s="142"/>
      <c r="G402" s="142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42"/>
      <c r="B403" s="142"/>
      <c r="C403" s="142"/>
      <c r="D403" s="142"/>
      <c r="E403" s="142"/>
      <c r="F403" s="142"/>
      <c r="G403" s="142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42"/>
      <c r="B404" s="142"/>
      <c r="C404" s="142"/>
      <c r="D404" s="142"/>
      <c r="E404" s="142"/>
      <c r="F404" s="142"/>
      <c r="G404" s="142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42"/>
      <c r="B405" s="142"/>
      <c r="C405" s="142"/>
      <c r="D405" s="142"/>
      <c r="E405" s="142"/>
      <c r="F405" s="142"/>
      <c r="G405" s="142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42"/>
      <c r="B406" s="142"/>
      <c r="C406" s="142"/>
      <c r="D406" s="142"/>
      <c r="E406" s="142"/>
      <c r="F406" s="142"/>
      <c r="G406" s="142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42"/>
      <c r="B407" s="142"/>
      <c r="C407" s="142"/>
      <c r="D407" s="142"/>
      <c r="E407" s="142"/>
      <c r="F407" s="142"/>
      <c r="G407" s="142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42"/>
      <c r="B408" s="142"/>
      <c r="C408" s="142"/>
      <c r="D408" s="142"/>
      <c r="E408" s="142"/>
      <c r="F408" s="142"/>
      <c r="G408" s="142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42"/>
      <c r="B409" s="142"/>
      <c r="C409" s="142"/>
      <c r="D409" s="142"/>
      <c r="E409" s="142"/>
      <c r="F409" s="142"/>
      <c r="G409" s="142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42"/>
      <c r="B410" s="142"/>
      <c r="C410" s="142"/>
      <c r="D410" s="142"/>
      <c r="E410" s="142"/>
      <c r="F410" s="142"/>
      <c r="G410" s="142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42"/>
      <c r="B411" s="142"/>
      <c r="C411" s="142"/>
      <c r="D411" s="142"/>
      <c r="E411" s="142"/>
      <c r="F411" s="142"/>
      <c r="G411" s="142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42"/>
      <c r="B412" s="142"/>
      <c r="C412" s="142"/>
      <c r="D412" s="142"/>
      <c r="E412" s="142"/>
      <c r="F412" s="142"/>
      <c r="G412" s="142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42"/>
      <c r="B413" s="142"/>
      <c r="C413" s="142"/>
      <c r="D413" s="142"/>
      <c r="E413" s="142"/>
      <c r="F413" s="142"/>
      <c r="G413" s="142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42"/>
      <c r="B414" s="142"/>
      <c r="C414" s="142"/>
      <c r="D414" s="142"/>
      <c r="E414" s="142"/>
      <c r="F414" s="142"/>
      <c r="G414" s="142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42"/>
      <c r="B415" s="142"/>
      <c r="C415" s="142"/>
      <c r="D415" s="142"/>
      <c r="E415" s="142"/>
      <c r="F415" s="142"/>
      <c r="G415" s="142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42"/>
      <c r="B416" s="142"/>
      <c r="C416" s="142"/>
      <c r="D416" s="142"/>
      <c r="E416" s="142"/>
      <c r="F416" s="142"/>
      <c r="G416" s="142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42"/>
      <c r="B417" s="142"/>
      <c r="C417" s="142"/>
      <c r="D417" s="142"/>
      <c r="E417" s="142"/>
      <c r="F417" s="142"/>
      <c r="G417" s="142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42"/>
      <c r="B418" s="142"/>
      <c r="C418" s="142"/>
      <c r="D418" s="142"/>
      <c r="E418" s="142"/>
      <c r="F418" s="142"/>
      <c r="G418" s="142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42"/>
      <c r="B419" s="142"/>
      <c r="C419" s="142"/>
      <c r="D419" s="142"/>
      <c r="E419" s="142"/>
      <c r="F419" s="142"/>
      <c r="G419" s="142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42"/>
      <c r="B420" s="142"/>
      <c r="C420" s="142"/>
      <c r="D420" s="142"/>
      <c r="E420" s="142"/>
      <c r="F420" s="142"/>
      <c r="G420" s="142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42"/>
      <c r="B421" s="142"/>
      <c r="C421" s="142"/>
      <c r="D421" s="142"/>
      <c r="E421" s="142"/>
      <c r="F421" s="142"/>
      <c r="G421" s="142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42"/>
      <c r="B422" s="142"/>
      <c r="C422" s="142"/>
      <c r="D422" s="142"/>
      <c r="E422" s="142"/>
      <c r="F422" s="142"/>
      <c r="G422" s="142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42"/>
      <c r="B423" s="142"/>
      <c r="C423" s="142"/>
      <c r="D423" s="142"/>
      <c r="E423" s="142"/>
      <c r="F423" s="142"/>
      <c r="G423" s="142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42"/>
      <c r="B424" s="142"/>
      <c r="C424" s="142"/>
      <c r="D424" s="142"/>
      <c r="E424" s="142"/>
      <c r="F424" s="142"/>
      <c r="G424" s="142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42"/>
      <c r="B425" s="142"/>
      <c r="C425" s="142"/>
      <c r="D425" s="142"/>
      <c r="E425" s="142"/>
      <c r="F425" s="142"/>
      <c r="G425" s="142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42"/>
      <c r="B426" s="142"/>
      <c r="C426" s="142"/>
      <c r="D426" s="142"/>
      <c r="E426" s="142"/>
      <c r="F426" s="142"/>
      <c r="G426" s="142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42"/>
      <c r="B427" s="142"/>
      <c r="C427" s="142"/>
      <c r="D427" s="142"/>
      <c r="E427" s="142"/>
      <c r="F427" s="142"/>
      <c r="G427" s="142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42"/>
      <c r="B428" s="142"/>
      <c r="C428" s="142"/>
      <c r="D428" s="142"/>
      <c r="E428" s="142"/>
      <c r="F428" s="142"/>
      <c r="G428" s="142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42"/>
      <c r="B429" s="142"/>
      <c r="C429" s="142"/>
      <c r="D429" s="142"/>
      <c r="E429" s="142"/>
      <c r="F429" s="142"/>
      <c r="G429" s="142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42"/>
      <c r="B430" s="142"/>
      <c r="C430" s="142"/>
      <c r="D430" s="142"/>
      <c r="E430" s="142"/>
      <c r="F430" s="142"/>
      <c r="G430" s="142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42"/>
      <c r="B431" s="142"/>
      <c r="C431" s="142"/>
      <c r="D431" s="142"/>
      <c r="E431" s="142"/>
      <c r="F431" s="142"/>
      <c r="G431" s="142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42"/>
      <c r="B432" s="142"/>
      <c r="C432" s="142"/>
      <c r="D432" s="142"/>
      <c r="E432" s="142"/>
      <c r="F432" s="142"/>
      <c r="G432" s="142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42"/>
      <c r="B433" s="142"/>
      <c r="C433" s="142"/>
      <c r="D433" s="142"/>
      <c r="E433" s="142"/>
      <c r="F433" s="142"/>
      <c r="G433" s="142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42"/>
      <c r="B434" s="142"/>
      <c r="C434" s="142"/>
      <c r="D434" s="142"/>
      <c r="E434" s="142"/>
      <c r="F434" s="142"/>
      <c r="G434" s="142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42"/>
      <c r="B435" s="142"/>
      <c r="C435" s="142"/>
      <c r="D435" s="142"/>
      <c r="E435" s="142"/>
      <c r="F435" s="142"/>
      <c r="G435" s="142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42"/>
      <c r="B436" s="142"/>
      <c r="C436" s="142"/>
      <c r="D436" s="142"/>
      <c r="E436" s="142"/>
      <c r="F436" s="142"/>
      <c r="G436" s="142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42"/>
      <c r="B437" s="142"/>
      <c r="C437" s="142"/>
      <c r="D437" s="142"/>
      <c r="E437" s="142"/>
      <c r="F437" s="142"/>
      <c r="G437" s="142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42"/>
      <c r="B438" s="142"/>
      <c r="C438" s="142"/>
      <c r="D438" s="142"/>
      <c r="E438" s="142"/>
      <c r="F438" s="142"/>
      <c r="G438" s="142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42"/>
      <c r="B439" s="142"/>
      <c r="C439" s="142"/>
      <c r="D439" s="142"/>
      <c r="E439" s="142"/>
      <c r="F439" s="142"/>
      <c r="G439" s="142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42"/>
      <c r="B440" s="142"/>
      <c r="C440" s="142"/>
      <c r="D440" s="142"/>
      <c r="E440" s="142"/>
      <c r="F440" s="142"/>
      <c r="G440" s="142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42"/>
      <c r="B441" s="142"/>
      <c r="C441" s="142"/>
      <c r="D441" s="142"/>
      <c r="E441" s="142"/>
      <c r="F441" s="142"/>
      <c r="G441" s="142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42"/>
      <c r="B442" s="142"/>
      <c r="C442" s="142"/>
      <c r="D442" s="142"/>
      <c r="E442" s="142"/>
      <c r="F442" s="142"/>
      <c r="G442" s="142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42"/>
      <c r="B443" s="142"/>
      <c r="C443" s="142"/>
      <c r="D443" s="142"/>
      <c r="E443" s="142"/>
      <c r="F443" s="142"/>
      <c r="G443" s="142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42"/>
      <c r="B444" s="142"/>
      <c r="C444" s="142"/>
      <c r="D444" s="142"/>
      <c r="E444" s="142"/>
      <c r="F444" s="142"/>
      <c r="G444" s="142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42"/>
      <c r="B445" s="142"/>
      <c r="C445" s="142"/>
      <c r="D445" s="142"/>
      <c r="E445" s="142"/>
      <c r="F445" s="142"/>
      <c r="G445" s="142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42"/>
      <c r="B446" s="142"/>
      <c r="C446" s="142"/>
      <c r="D446" s="142"/>
      <c r="E446" s="142"/>
      <c r="F446" s="142"/>
      <c r="G446" s="142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42"/>
      <c r="B447" s="142"/>
      <c r="C447" s="142"/>
      <c r="D447" s="142"/>
      <c r="E447" s="142"/>
      <c r="F447" s="142"/>
      <c r="G447" s="142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42"/>
      <c r="B448" s="142"/>
      <c r="C448" s="142"/>
      <c r="D448" s="142"/>
      <c r="E448" s="142"/>
      <c r="F448" s="142"/>
      <c r="G448" s="142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42"/>
      <c r="B449" s="142"/>
      <c r="C449" s="142"/>
      <c r="D449" s="142"/>
      <c r="E449" s="142"/>
      <c r="F449" s="142"/>
      <c r="G449" s="142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42"/>
      <c r="B450" s="142"/>
      <c r="C450" s="142"/>
      <c r="D450" s="142"/>
      <c r="E450" s="142"/>
      <c r="F450" s="142"/>
      <c r="G450" s="142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42"/>
      <c r="B451" s="142"/>
      <c r="C451" s="142"/>
      <c r="D451" s="142"/>
      <c r="E451" s="142"/>
      <c r="F451" s="142"/>
      <c r="G451" s="142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42"/>
      <c r="B452" s="142"/>
      <c r="C452" s="142"/>
      <c r="D452" s="142"/>
      <c r="E452" s="142"/>
      <c r="F452" s="142"/>
      <c r="G452" s="142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42"/>
      <c r="B453" s="142"/>
      <c r="C453" s="142"/>
      <c r="D453" s="142"/>
      <c r="E453" s="142"/>
      <c r="F453" s="142"/>
      <c r="G453" s="142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42"/>
      <c r="B454" s="142"/>
      <c r="C454" s="142"/>
      <c r="D454" s="142"/>
      <c r="E454" s="142"/>
      <c r="F454" s="142"/>
      <c r="G454" s="142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42"/>
      <c r="B455" s="142"/>
      <c r="C455" s="142"/>
      <c r="D455" s="142"/>
      <c r="E455" s="142"/>
      <c r="F455" s="142"/>
      <c r="G455" s="142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42"/>
      <c r="B456" s="142"/>
      <c r="C456" s="142"/>
      <c r="D456" s="142"/>
      <c r="E456" s="142"/>
      <c r="F456" s="142"/>
      <c r="G456" s="142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42"/>
      <c r="B457" s="142"/>
      <c r="C457" s="142"/>
      <c r="D457" s="142"/>
      <c r="E457" s="142"/>
      <c r="F457" s="142"/>
      <c r="G457" s="142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42"/>
      <c r="B458" s="142"/>
      <c r="C458" s="142"/>
      <c r="D458" s="142"/>
      <c r="E458" s="142"/>
      <c r="F458" s="142"/>
      <c r="G458" s="142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42"/>
      <c r="B459" s="142"/>
      <c r="C459" s="142"/>
      <c r="D459" s="142"/>
      <c r="E459" s="142"/>
      <c r="F459" s="142"/>
      <c r="G459" s="142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42"/>
      <c r="B460" s="142"/>
      <c r="C460" s="142"/>
      <c r="D460" s="142"/>
      <c r="E460" s="142"/>
      <c r="F460" s="142"/>
      <c r="G460" s="142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42"/>
      <c r="B461" s="142"/>
      <c r="C461" s="142"/>
      <c r="D461" s="142"/>
      <c r="E461" s="142"/>
      <c r="F461" s="142"/>
      <c r="G461" s="142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42"/>
      <c r="B462" s="142"/>
      <c r="C462" s="142"/>
      <c r="D462" s="142"/>
      <c r="E462" s="142"/>
      <c r="F462" s="142"/>
      <c r="G462" s="142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42"/>
      <c r="B463" s="142"/>
      <c r="C463" s="142"/>
      <c r="D463" s="142"/>
      <c r="E463" s="142"/>
      <c r="F463" s="142"/>
      <c r="G463" s="142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42"/>
      <c r="B464" s="142"/>
      <c r="C464" s="142"/>
      <c r="D464" s="142"/>
      <c r="E464" s="142"/>
      <c r="F464" s="142"/>
      <c r="G464" s="142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42"/>
      <c r="B465" s="142"/>
      <c r="C465" s="142"/>
      <c r="D465" s="142"/>
      <c r="E465" s="142"/>
      <c r="F465" s="142"/>
      <c r="G465" s="142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42"/>
      <c r="B466" s="142"/>
      <c r="C466" s="142"/>
      <c r="D466" s="142"/>
      <c r="E466" s="142"/>
      <c r="F466" s="142"/>
      <c r="G466" s="142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42"/>
      <c r="B467" s="142"/>
      <c r="C467" s="142"/>
      <c r="D467" s="142"/>
      <c r="E467" s="142"/>
      <c r="F467" s="142"/>
      <c r="G467" s="142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42"/>
      <c r="B468" s="142"/>
      <c r="C468" s="142"/>
      <c r="D468" s="142"/>
      <c r="E468" s="142"/>
      <c r="F468" s="142"/>
      <c r="G468" s="142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42"/>
      <c r="B469" s="142"/>
      <c r="C469" s="142"/>
      <c r="D469" s="142"/>
      <c r="E469" s="142"/>
      <c r="F469" s="142"/>
      <c r="G469" s="142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42"/>
      <c r="B470" s="142"/>
      <c r="C470" s="142"/>
      <c r="D470" s="142"/>
      <c r="E470" s="142"/>
      <c r="F470" s="142"/>
      <c r="G470" s="142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42"/>
      <c r="B471" s="142"/>
      <c r="C471" s="142"/>
      <c r="D471" s="142"/>
      <c r="E471" s="142"/>
      <c r="F471" s="142"/>
      <c r="G471" s="142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42"/>
      <c r="B472" s="142"/>
      <c r="C472" s="142"/>
      <c r="D472" s="142"/>
      <c r="E472" s="142"/>
      <c r="F472" s="142"/>
      <c r="G472" s="142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42"/>
      <c r="B473" s="142"/>
      <c r="C473" s="142"/>
      <c r="D473" s="142"/>
      <c r="E473" s="142"/>
      <c r="F473" s="142"/>
      <c r="G473" s="142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42"/>
      <c r="B474" s="142"/>
      <c r="C474" s="142"/>
      <c r="D474" s="142"/>
      <c r="E474" s="142"/>
      <c r="F474" s="142"/>
      <c r="G474" s="142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42"/>
      <c r="B475" s="142"/>
      <c r="C475" s="142"/>
      <c r="D475" s="142"/>
      <c r="E475" s="142"/>
      <c r="F475" s="142"/>
      <c r="G475" s="142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42"/>
      <c r="B476" s="142"/>
      <c r="C476" s="142"/>
      <c r="D476" s="142"/>
      <c r="E476" s="142"/>
      <c r="F476" s="142"/>
      <c r="G476" s="142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42"/>
      <c r="B477" s="142"/>
      <c r="C477" s="142"/>
      <c r="D477" s="142"/>
      <c r="E477" s="142"/>
      <c r="F477" s="142"/>
      <c r="G477" s="142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42"/>
      <c r="B478" s="142"/>
      <c r="C478" s="142"/>
      <c r="D478" s="142"/>
      <c r="E478" s="142"/>
      <c r="F478" s="142"/>
      <c r="G478" s="142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42"/>
      <c r="B479" s="142"/>
      <c r="C479" s="142"/>
      <c r="D479" s="142"/>
      <c r="E479" s="142"/>
      <c r="F479" s="142"/>
      <c r="G479" s="142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42"/>
      <c r="B480" s="142"/>
      <c r="C480" s="142"/>
      <c r="D480" s="142"/>
      <c r="E480" s="142"/>
      <c r="F480" s="142"/>
      <c r="G480" s="142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42"/>
      <c r="B481" s="142"/>
      <c r="C481" s="142"/>
      <c r="D481" s="142"/>
      <c r="E481" s="142"/>
      <c r="F481" s="142"/>
      <c r="G481" s="142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42"/>
      <c r="B482" s="142"/>
      <c r="C482" s="142"/>
      <c r="D482" s="142"/>
      <c r="E482" s="142"/>
      <c r="F482" s="142"/>
      <c r="G482" s="142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42"/>
      <c r="B483" s="142"/>
      <c r="C483" s="142"/>
      <c r="D483" s="142"/>
      <c r="E483" s="142"/>
      <c r="F483" s="142"/>
      <c r="G483" s="142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42"/>
      <c r="B484" s="142"/>
      <c r="C484" s="142"/>
      <c r="D484" s="142"/>
      <c r="E484" s="142"/>
      <c r="F484" s="142"/>
      <c r="G484" s="142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42"/>
      <c r="B485" s="142"/>
      <c r="C485" s="142"/>
      <c r="D485" s="142"/>
      <c r="E485" s="142"/>
      <c r="F485" s="142"/>
      <c r="G485" s="142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42"/>
      <c r="B486" s="142"/>
      <c r="C486" s="142"/>
      <c r="D486" s="142"/>
      <c r="E486" s="142"/>
      <c r="F486" s="142"/>
      <c r="G486" s="142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42"/>
      <c r="B487" s="142"/>
      <c r="C487" s="142"/>
      <c r="D487" s="142"/>
      <c r="E487" s="142"/>
      <c r="F487" s="142"/>
      <c r="G487" s="142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42"/>
      <c r="B488" s="142"/>
      <c r="C488" s="142"/>
      <c r="D488" s="142"/>
      <c r="E488" s="142"/>
      <c r="F488" s="142"/>
      <c r="G488" s="142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42"/>
      <c r="B489" s="142"/>
      <c r="C489" s="142"/>
      <c r="D489" s="142"/>
      <c r="E489" s="142"/>
      <c r="F489" s="142"/>
      <c r="G489" s="142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42"/>
      <c r="B490" s="142"/>
      <c r="C490" s="142"/>
      <c r="D490" s="142"/>
      <c r="E490" s="142"/>
      <c r="F490" s="142"/>
      <c r="G490" s="142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42"/>
      <c r="B491" s="142"/>
      <c r="C491" s="142"/>
      <c r="D491" s="142"/>
      <c r="E491" s="142"/>
      <c r="F491" s="142"/>
      <c r="G491" s="142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42"/>
      <c r="B492" s="142"/>
      <c r="C492" s="142"/>
      <c r="D492" s="142"/>
      <c r="E492" s="142"/>
      <c r="F492" s="142"/>
      <c r="G492" s="142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42"/>
      <c r="B493" s="142"/>
      <c r="C493" s="142"/>
      <c r="D493" s="142"/>
      <c r="E493" s="142"/>
      <c r="F493" s="142"/>
      <c r="G493" s="142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42"/>
      <c r="B494" s="142"/>
      <c r="C494" s="142"/>
      <c r="D494" s="142"/>
      <c r="E494" s="142"/>
      <c r="F494" s="142"/>
      <c r="G494" s="142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42"/>
      <c r="B495" s="142"/>
      <c r="C495" s="142"/>
      <c r="D495" s="142"/>
      <c r="E495" s="142"/>
      <c r="F495" s="142"/>
      <c r="G495" s="142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42"/>
      <c r="B496" s="142"/>
      <c r="C496" s="142"/>
      <c r="D496" s="142"/>
      <c r="E496" s="142"/>
      <c r="F496" s="142"/>
      <c r="G496" s="142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42"/>
      <c r="B497" s="142"/>
      <c r="C497" s="142"/>
      <c r="D497" s="142"/>
      <c r="E497" s="142"/>
      <c r="F497" s="142"/>
      <c r="G497" s="142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42"/>
      <c r="B498" s="142"/>
      <c r="C498" s="142"/>
      <c r="D498" s="142"/>
      <c r="E498" s="142"/>
      <c r="F498" s="142"/>
      <c r="G498" s="142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42"/>
      <c r="B499" s="142"/>
      <c r="C499" s="142"/>
      <c r="D499" s="142"/>
      <c r="E499" s="142"/>
      <c r="F499" s="142"/>
      <c r="G499" s="142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42"/>
      <c r="B500" s="142"/>
      <c r="C500" s="142"/>
      <c r="D500" s="142"/>
      <c r="E500" s="142"/>
      <c r="F500" s="142"/>
      <c r="G500" s="142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42"/>
      <c r="B501" s="142"/>
      <c r="C501" s="142"/>
      <c r="D501" s="142"/>
      <c r="E501" s="142"/>
      <c r="F501" s="142"/>
      <c r="G501" s="142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42"/>
      <c r="B502" s="142"/>
      <c r="C502" s="142"/>
      <c r="D502" s="142"/>
      <c r="E502" s="142"/>
      <c r="F502" s="142"/>
      <c r="G502" s="142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42"/>
      <c r="B503" s="142"/>
      <c r="C503" s="142"/>
      <c r="D503" s="142"/>
      <c r="E503" s="142"/>
      <c r="F503" s="142"/>
      <c r="G503" s="142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42"/>
      <c r="B504" s="142"/>
      <c r="C504" s="142"/>
      <c r="D504" s="142"/>
      <c r="E504" s="142"/>
      <c r="F504" s="142"/>
      <c r="G504" s="142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42"/>
      <c r="B505" s="142"/>
      <c r="C505" s="142"/>
      <c r="D505" s="142"/>
      <c r="E505" s="142"/>
      <c r="F505" s="142"/>
      <c r="G505" s="142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42"/>
      <c r="B506" s="142"/>
      <c r="C506" s="142"/>
      <c r="D506" s="142"/>
      <c r="E506" s="142"/>
      <c r="F506" s="142"/>
      <c r="G506" s="142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42"/>
      <c r="B507" s="142"/>
      <c r="C507" s="142"/>
      <c r="D507" s="142"/>
      <c r="E507" s="142"/>
      <c r="F507" s="142"/>
      <c r="G507" s="142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42"/>
      <c r="B508" s="142"/>
      <c r="C508" s="142"/>
      <c r="D508" s="142"/>
      <c r="E508" s="142"/>
      <c r="F508" s="142"/>
      <c r="G508" s="142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42"/>
      <c r="B509" s="142"/>
      <c r="C509" s="142"/>
      <c r="D509" s="142"/>
      <c r="E509" s="142"/>
      <c r="F509" s="142"/>
      <c r="G509" s="142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42"/>
      <c r="B510" s="142"/>
      <c r="C510" s="142"/>
      <c r="D510" s="142"/>
      <c r="E510" s="142"/>
      <c r="F510" s="142"/>
      <c r="G510" s="142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42"/>
      <c r="B511" s="142"/>
      <c r="C511" s="142"/>
      <c r="D511" s="142"/>
      <c r="E511" s="142"/>
      <c r="F511" s="142"/>
      <c r="G511" s="142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42"/>
      <c r="B512" s="142"/>
      <c r="C512" s="142"/>
      <c r="D512" s="142"/>
      <c r="E512" s="142"/>
      <c r="F512" s="142"/>
      <c r="G512" s="142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42"/>
      <c r="B513" s="142"/>
      <c r="C513" s="142"/>
      <c r="D513" s="142"/>
      <c r="E513" s="142"/>
      <c r="F513" s="142"/>
      <c r="G513" s="142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42"/>
      <c r="B514" s="142"/>
      <c r="C514" s="142"/>
      <c r="D514" s="142"/>
      <c r="E514" s="142"/>
      <c r="F514" s="142"/>
      <c r="G514" s="142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42"/>
      <c r="B515" s="142"/>
      <c r="C515" s="142"/>
      <c r="D515" s="142"/>
      <c r="E515" s="142"/>
      <c r="F515" s="142"/>
      <c r="G515" s="142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42"/>
      <c r="B516" s="142"/>
      <c r="C516" s="142"/>
      <c r="D516" s="142"/>
      <c r="E516" s="142"/>
      <c r="F516" s="142"/>
      <c r="G516" s="142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42"/>
      <c r="B517" s="142"/>
      <c r="C517" s="142"/>
      <c r="D517" s="142"/>
      <c r="E517" s="142"/>
      <c r="F517" s="142"/>
      <c r="G517" s="142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42"/>
      <c r="B518" s="142"/>
      <c r="C518" s="142"/>
      <c r="D518" s="142"/>
      <c r="E518" s="142"/>
      <c r="F518" s="142"/>
      <c r="G518" s="142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42"/>
      <c r="B519" s="142"/>
      <c r="C519" s="142"/>
      <c r="D519" s="142"/>
      <c r="E519" s="142"/>
      <c r="F519" s="142"/>
      <c r="G519" s="142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42"/>
      <c r="B520" s="142"/>
      <c r="C520" s="142"/>
      <c r="D520" s="142"/>
      <c r="E520" s="142"/>
      <c r="F520" s="142"/>
      <c r="G520" s="142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42"/>
      <c r="B521" s="142"/>
      <c r="C521" s="142"/>
      <c r="D521" s="142"/>
      <c r="E521" s="142"/>
      <c r="F521" s="142"/>
      <c r="G521" s="142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42"/>
      <c r="B522" s="142"/>
      <c r="C522" s="142"/>
      <c r="D522" s="142"/>
      <c r="E522" s="142"/>
      <c r="F522" s="142"/>
      <c r="G522" s="142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42"/>
      <c r="B523" s="142"/>
      <c r="C523" s="142"/>
      <c r="D523" s="142"/>
      <c r="E523" s="142"/>
      <c r="F523" s="142"/>
      <c r="G523" s="142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42"/>
      <c r="B524" s="142"/>
      <c r="C524" s="142"/>
      <c r="D524" s="142"/>
      <c r="E524" s="142"/>
      <c r="F524" s="142"/>
      <c r="G524" s="142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42"/>
      <c r="B525" s="142"/>
      <c r="C525" s="142"/>
      <c r="D525" s="142"/>
      <c r="E525" s="142"/>
      <c r="F525" s="142"/>
      <c r="G525" s="142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42"/>
      <c r="B526" s="142"/>
      <c r="C526" s="142"/>
      <c r="D526" s="142"/>
      <c r="E526" s="142"/>
      <c r="F526" s="142"/>
      <c r="G526" s="142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42"/>
      <c r="B527" s="142"/>
      <c r="C527" s="142"/>
      <c r="D527" s="142"/>
      <c r="E527" s="142"/>
      <c r="F527" s="142"/>
      <c r="G527" s="142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42"/>
      <c r="B528" s="142"/>
      <c r="C528" s="142"/>
      <c r="D528" s="142"/>
      <c r="E528" s="142"/>
      <c r="F528" s="142"/>
      <c r="G528" s="142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42"/>
      <c r="B529" s="142"/>
      <c r="C529" s="142"/>
      <c r="D529" s="142"/>
      <c r="E529" s="142"/>
      <c r="F529" s="142"/>
      <c r="G529" s="142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42"/>
      <c r="B530" s="142"/>
      <c r="C530" s="142"/>
      <c r="D530" s="142"/>
      <c r="E530" s="142"/>
      <c r="F530" s="142"/>
      <c r="G530" s="142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42"/>
      <c r="B531" s="142"/>
      <c r="C531" s="142"/>
      <c r="D531" s="142"/>
      <c r="E531" s="142"/>
      <c r="F531" s="142"/>
      <c r="G531" s="142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42"/>
      <c r="B532" s="142"/>
      <c r="C532" s="142"/>
      <c r="D532" s="142"/>
      <c r="E532" s="142"/>
      <c r="F532" s="142"/>
      <c r="G532" s="142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42"/>
      <c r="B533" s="142"/>
      <c r="C533" s="142"/>
      <c r="D533" s="142"/>
      <c r="E533" s="142"/>
      <c r="F533" s="142"/>
      <c r="G533" s="142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42"/>
      <c r="B534" s="142"/>
      <c r="C534" s="142"/>
      <c r="D534" s="142"/>
      <c r="E534" s="142"/>
      <c r="F534" s="142"/>
      <c r="G534" s="142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42"/>
      <c r="B535" s="142"/>
      <c r="C535" s="142"/>
      <c r="D535" s="142"/>
      <c r="E535" s="142"/>
      <c r="F535" s="142"/>
      <c r="G535" s="142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42"/>
      <c r="B536" s="142"/>
      <c r="C536" s="142"/>
      <c r="D536" s="142"/>
      <c r="E536" s="142"/>
      <c r="F536" s="142"/>
      <c r="G536" s="142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42"/>
      <c r="B537" s="142"/>
      <c r="C537" s="142"/>
      <c r="D537" s="142"/>
      <c r="E537" s="142"/>
      <c r="F537" s="142"/>
      <c r="G537" s="142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42"/>
      <c r="B538" s="142"/>
      <c r="C538" s="142"/>
      <c r="D538" s="142"/>
      <c r="E538" s="142"/>
      <c r="F538" s="142"/>
      <c r="G538" s="142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42"/>
      <c r="B539" s="142"/>
      <c r="C539" s="142"/>
      <c r="D539" s="142"/>
      <c r="E539" s="142"/>
      <c r="F539" s="142"/>
      <c r="G539" s="142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42"/>
      <c r="B540" s="142"/>
      <c r="C540" s="142"/>
      <c r="D540" s="142"/>
      <c r="E540" s="142"/>
      <c r="F540" s="142"/>
      <c r="G540" s="142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42"/>
      <c r="B541" s="142"/>
      <c r="C541" s="142"/>
      <c r="D541" s="142"/>
      <c r="E541" s="142"/>
      <c r="F541" s="142"/>
      <c r="G541" s="142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42"/>
      <c r="B542" s="142"/>
      <c r="C542" s="142"/>
      <c r="D542" s="142"/>
      <c r="E542" s="142"/>
      <c r="F542" s="142"/>
      <c r="G542" s="142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42"/>
      <c r="B543" s="142"/>
      <c r="C543" s="142"/>
      <c r="D543" s="142"/>
      <c r="E543" s="142"/>
      <c r="F543" s="142"/>
      <c r="G543" s="142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42"/>
      <c r="B544" s="142"/>
      <c r="C544" s="142"/>
      <c r="D544" s="142"/>
      <c r="E544" s="142"/>
      <c r="F544" s="142"/>
      <c r="G544" s="142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42"/>
      <c r="B545" s="142"/>
      <c r="C545" s="142"/>
      <c r="D545" s="142"/>
      <c r="E545" s="142"/>
      <c r="F545" s="142"/>
      <c r="G545" s="142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42"/>
      <c r="B546" s="142"/>
      <c r="C546" s="142"/>
      <c r="D546" s="142"/>
      <c r="E546" s="142"/>
      <c r="F546" s="142"/>
      <c r="G546" s="142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42"/>
      <c r="B547" s="142"/>
      <c r="C547" s="142"/>
      <c r="D547" s="142"/>
      <c r="E547" s="142"/>
      <c r="F547" s="142"/>
      <c r="G547" s="142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42"/>
      <c r="B548" s="142"/>
      <c r="C548" s="142"/>
      <c r="D548" s="142"/>
      <c r="E548" s="142"/>
      <c r="F548" s="142"/>
      <c r="G548" s="142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42"/>
      <c r="B549" s="142"/>
      <c r="C549" s="142"/>
      <c r="D549" s="142"/>
      <c r="E549" s="142"/>
      <c r="F549" s="142"/>
      <c r="G549" s="142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42"/>
      <c r="B550" s="142"/>
      <c r="C550" s="142"/>
      <c r="D550" s="142"/>
      <c r="E550" s="142"/>
      <c r="F550" s="142"/>
      <c r="G550" s="142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42"/>
      <c r="B551" s="142"/>
      <c r="C551" s="142"/>
      <c r="D551" s="142"/>
      <c r="E551" s="142"/>
      <c r="F551" s="142"/>
      <c r="G551" s="142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42"/>
      <c r="B552" s="142"/>
      <c r="C552" s="142"/>
      <c r="D552" s="142"/>
      <c r="E552" s="142"/>
      <c r="F552" s="142"/>
      <c r="G552" s="142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42"/>
      <c r="B553" s="142"/>
      <c r="C553" s="142"/>
      <c r="D553" s="142"/>
      <c r="E553" s="142"/>
      <c r="F553" s="142"/>
      <c r="G553" s="142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42"/>
      <c r="B554" s="142"/>
      <c r="C554" s="142"/>
      <c r="D554" s="142"/>
      <c r="E554" s="142"/>
      <c r="F554" s="142"/>
      <c r="G554" s="142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42"/>
      <c r="B555" s="142"/>
      <c r="C555" s="142"/>
      <c r="D555" s="142"/>
      <c r="E555" s="142"/>
      <c r="F555" s="142"/>
      <c r="G555" s="142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42"/>
      <c r="B556" s="142"/>
      <c r="C556" s="142"/>
      <c r="D556" s="142"/>
      <c r="E556" s="142"/>
      <c r="F556" s="142"/>
      <c r="G556" s="142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42"/>
      <c r="B557" s="142"/>
      <c r="C557" s="142"/>
      <c r="D557" s="142"/>
      <c r="E557" s="142"/>
      <c r="F557" s="142"/>
      <c r="G557" s="142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42"/>
      <c r="B558" s="142"/>
      <c r="C558" s="142"/>
      <c r="D558" s="142"/>
      <c r="E558" s="142"/>
      <c r="F558" s="142"/>
      <c r="G558" s="142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42"/>
      <c r="B559" s="142"/>
      <c r="C559" s="142"/>
      <c r="D559" s="142"/>
      <c r="E559" s="142"/>
      <c r="F559" s="142"/>
      <c r="G559" s="142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42"/>
      <c r="B560" s="142"/>
      <c r="C560" s="142"/>
      <c r="D560" s="142"/>
      <c r="E560" s="142"/>
      <c r="F560" s="142"/>
      <c r="G560" s="142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42"/>
      <c r="B561" s="142"/>
      <c r="C561" s="142"/>
      <c r="D561" s="142"/>
      <c r="E561" s="142"/>
      <c r="F561" s="142"/>
      <c r="G561" s="142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42"/>
      <c r="B562" s="142"/>
      <c r="C562" s="142"/>
      <c r="D562" s="142"/>
      <c r="E562" s="142"/>
      <c r="F562" s="142"/>
      <c r="G562" s="142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42"/>
      <c r="B563" s="142"/>
      <c r="C563" s="142"/>
      <c r="D563" s="142"/>
      <c r="E563" s="142"/>
      <c r="F563" s="142"/>
      <c r="G563" s="142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42"/>
      <c r="B564" s="142"/>
      <c r="C564" s="142"/>
      <c r="D564" s="142"/>
      <c r="E564" s="142"/>
      <c r="F564" s="142"/>
      <c r="G564" s="142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42"/>
      <c r="B565" s="142"/>
      <c r="C565" s="142"/>
      <c r="D565" s="142"/>
      <c r="E565" s="142"/>
      <c r="F565" s="142"/>
      <c r="G565" s="142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42"/>
      <c r="B566" s="142"/>
      <c r="C566" s="142"/>
      <c r="D566" s="142"/>
      <c r="E566" s="142"/>
      <c r="F566" s="142"/>
      <c r="G566" s="142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42"/>
      <c r="B567" s="142"/>
      <c r="C567" s="142"/>
      <c r="D567" s="142"/>
      <c r="E567" s="142"/>
      <c r="F567" s="142"/>
      <c r="G567" s="142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42"/>
      <c r="B568" s="142"/>
      <c r="C568" s="142"/>
      <c r="D568" s="142"/>
      <c r="E568" s="142"/>
      <c r="F568" s="142"/>
      <c r="G568" s="142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42"/>
      <c r="B569" s="142"/>
      <c r="C569" s="142"/>
      <c r="D569" s="142"/>
      <c r="E569" s="142"/>
      <c r="F569" s="142"/>
      <c r="G569" s="142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42"/>
      <c r="B570" s="142"/>
      <c r="C570" s="142"/>
      <c r="D570" s="142"/>
      <c r="E570" s="142"/>
      <c r="F570" s="142"/>
      <c r="G570" s="142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42"/>
      <c r="B571" s="142"/>
      <c r="C571" s="142"/>
      <c r="D571" s="142"/>
      <c r="E571" s="142"/>
      <c r="F571" s="142"/>
      <c r="G571" s="142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42"/>
      <c r="B572" s="142"/>
      <c r="C572" s="142"/>
      <c r="D572" s="142"/>
      <c r="E572" s="142"/>
      <c r="F572" s="142"/>
      <c r="G572" s="142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42"/>
      <c r="B573" s="142"/>
      <c r="C573" s="142"/>
      <c r="D573" s="142"/>
      <c r="E573" s="142"/>
      <c r="F573" s="142"/>
      <c r="G573" s="142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42"/>
      <c r="B574" s="142"/>
      <c r="C574" s="142"/>
      <c r="D574" s="142"/>
      <c r="E574" s="142"/>
      <c r="F574" s="142"/>
      <c r="G574" s="142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42"/>
      <c r="B575" s="142"/>
      <c r="C575" s="142"/>
      <c r="D575" s="142"/>
      <c r="E575" s="142"/>
      <c r="F575" s="142"/>
      <c r="G575" s="142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42"/>
      <c r="B576" s="142"/>
      <c r="C576" s="142"/>
      <c r="D576" s="142"/>
      <c r="E576" s="142"/>
      <c r="F576" s="142"/>
      <c r="G576" s="142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42"/>
      <c r="B577" s="142"/>
      <c r="C577" s="142"/>
      <c r="D577" s="142"/>
      <c r="E577" s="142"/>
      <c r="F577" s="142"/>
      <c r="G577" s="142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42"/>
      <c r="B578" s="142"/>
      <c r="C578" s="142"/>
      <c r="D578" s="142"/>
      <c r="E578" s="142"/>
      <c r="F578" s="142"/>
      <c r="G578" s="142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42"/>
      <c r="B579" s="142"/>
      <c r="C579" s="142"/>
      <c r="D579" s="142"/>
      <c r="E579" s="142"/>
      <c r="F579" s="142"/>
      <c r="G579" s="142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42"/>
      <c r="B580" s="142"/>
      <c r="C580" s="142"/>
      <c r="D580" s="142"/>
      <c r="E580" s="142"/>
      <c r="F580" s="142"/>
      <c r="G580" s="142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42"/>
      <c r="B581" s="142"/>
      <c r="C581" s="142"/>
      <c r="D581" s="142"/>
      <c r="E581" s="142"/>
      <c r="F581" s="142"/>
      <c r="G581" s="142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42"/>
      <c r="B582" s="142"/>
      <c r="C582" s="142"/>
      <c r="D582" s="142"/>
      <c r="E582" s="142"/>
      <c r="F582" s="142"/>
      <c r="G582" s="142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42"/>
      <c r="B583" s="142"/>
      <c r="C583" s="142"/>
      <c r="D583" s="142"/>
      <c r="E583" s="142"/>
      <c r="F583" s="142"/>
      <c r="G583" s="142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42"/>
      <c r="B584" s="142"/>
      <c r="C584" s="142"/>
      <c r="D584" s="142"/>
      <c r="E584" s="142"/>
      <c r="F584" s="142"/>
      <c r="G584" s="142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42"/>
      <c r="B585" s="142"/>
      <c r="C585" s="142"/>
      <c r="D585" s="142"/>
      <c r="E585" s="142"/>
      <c r="F585" s="142"/>
      <c r="G585" s="142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42"/>
      <c r="B586" s="142"/>
      <c r="C586" s="142"/>
      <c r="D586" s="142"/>
      <c r="E586" s="142"/>
      <c r="F586" s="142"/>
      <c r="G586" s="142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42"/>
      <c r="B587" s="142"/>
      <c r="C587" s="142"/>
      <c r="D587" s="142"/>
      <c r="E587" s="142"/>
      <c r="F587" s="142"/>
      <c r="G587" s="142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42"/>
      <c r="B588" s="142"/>
      <c r="C588" s="142"/>
      <c r="D588" s="142"/>
      <c r="E588" s="142"/>
      <c r="F588" s="142"/>
      <c r="G588" s="142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42"/>
      <c r="B589" s="142"/>
      <c r="C589" s="142"/>
      <c r="D589" s="142"/>
      <c r="E589" s="142"/>
      <c r="F589" s="142"/>
      <c r="G589" s="142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42"/>
      <c r="B590" s="142"/>
      <c r="C590" s="142"/>
      <c r="D590" s="142"/>
      <c r="E590" s="142"/>
      <c r="F590" s="142"/>
      <c r="G590" s="142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42"/>
      <c r="B591" s="142"/>
      <c r="C591" s="142"/>
      <c r="D591" s="142"/>
      <c r="E591" s="142"/>
      <c r="F591" s="142"/>
      <c r="G591" s="142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42"/>
      <c r="B592" s="142"/>
      <c r="C592" s="142"/>
      <c r="D592" s="142"/>
      <c r="E592" s="142"/>
      <c r="F592" s="142"/>
      <c r="G592" s="142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42"/>
      <c r="B593" s="142"/>
      <c r="C593" s="142"/>
      <c r="D593" s="142"/>
      <c r="E593" s="142"/>
      <c r="F593" s="142"/>
      <c r="G593" s="142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42"/>
      <c r="B594" s="142"/>
      <c r="C594" s="142"/>
      <c r="D594" s="142"/>
      <c r="E594" s="142"/>
      <c r="F594" s="142"/>
      <c r="G594" s="142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42"/>
      <c r="B595" s="142"/>
      <c r="C595" s="142"/>
      <c r="D595" s="142"/>
      <c r="E595" s="142"/>
      <c r="F595" s="142"/>
      <c r="G595" s="142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42"/>
      <c r="B596" s="142"/>
      <c r="C596" s="142"/>
      <c r="D596" s="142"/>
      <c r="E596" s="142"/>
      <c r="F596" s="142"/>
      <c r="G596" s="142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42"/>
      <c r="B597" s="142"/>
      <c r="C597" s="142"/>
      <c r="D597" s="142"/>
      <c r="E597" s="142"/>
      <c r="F597" s="142"/>
      <c r="G597" s="142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42"/>
      <c r="B598" s="142"/>
      <c r="C598" s="142"/>
      <c r="D598" s="142"/>
      <c r="E598" s="142"/>
      <c r="F598" s="142"/>
      <c r="G598" s="142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42"/>
      <c r="B599" s="142"/>
      <c r="C599" s="142"/>
      <c r="D599" s="142"/>
      <c r="E599" s="142"/>
      <c r="F599" s="142"/>
      <c r="G599" s="142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42"/>
      <c r="B600" s="142"/>
      <c r="C600" s="142"/>
      <c r="D600" s="142"/>
      <c r="E600" s="142"/>
      <c r="F600" s="142"/>
      <c r="G600" s="142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42"/>
      <c r="B601" s="142"/>
      <c r="C601" s="142"/>
      <c r="D601" s="142"/>
      <c r="E601" s="142"/>
      <c r="F601" s="142"/>
      <c r="G601" s="142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42"/>
      <c r="B602" s="142"/>
      <c r="C602" s="142"/>
      <c r="D602" s="142"/>
      <c r="E602" s="142"/>
      <c r="F602" s="142"/>
      <c r="G602" s="142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42"/>
      <c r="B603" s="142"/>
      <c r="C603" s="142"/>
      <c r="D603" s="142"/>
      <c r="E603" s="142"/>
      <c r="F603" s="142"/>
      <c r="G603" s="142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42"/>
      <c r="B604" s="142"/>
      <c r="C604" s="142"/>
      <c r="D604" s="142"/>
      <c r="E604" s="142"/>
      <c r="F604" s="142"/>
      <c r="G604" s="142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42"/>
      <c r="B605" s="142"/>
      <c r="C605" s="142"/>
      <c r="D605" s="142"/>
      <c r="E605" s="142"/>
      <c r="F605" s="142"/>
      <c r="G605" s="142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42"/>
      <c r="B606" s="142"/>
      <c r="C606" s="142"/>
      <c r="D606" s="142"/>
      <c r="E606" s="142"/>
      <c r="F606" s="142"/>
      <c r="G606" s="142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42"/>
      <c r="B607" s="142"/>
      <c r="C607" s="142"/>
      <c r="D607" s="142"/>
      <c r="E607" s="142"/>
      <c r="F607" s="142"/>
      <c r="G607" s="142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42"/>
      <c r="B608" s="142"/>
      <c r="C608" s="142"/>
      <c r="D608" s="142"/>
      <c r="E608" s="142"/>
      <c r="F608" s="142"/>
      <c r="G608" s="142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42"/>
      <c r="B609" s="142"/>
      <c r="C609" s="142"/>
      <c r="D609" s="142"/>
      <c r="E609" s="142"/>
      <c r="F609" s="142"/>
      <c r="G609" s="142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42"/>
      <c r="B610" s="142"/>
      <c r="C610" s="142"/>
      <c r="D610" s="142"/>
      <c r="E610" s="142"/>
      <c r="F610" s="142"/>
      <c r="G610" s="142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42"/>
      <c r="B611" s="142"/>
      <c r="C611" s="142"/>
      <c r="D611" s="142"/>
      <c r="E611" s="142"/>
      <c r="F611" s="142"/>
      <c r="G611" s="142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42"/>
      <c r="B612" s="142"/>
      <c r="C612" s="142"/>
      <c r="D612" s="142"/>
      <c r="E612" s="142"/>
      <c r="F612" s="142"/>
      <c r="G612" s="142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42"/>
      <c r="B613" s="142"/>
      <c r="C613" s="142"/>
      <c r="D613" s="142"/>
      <c r="E613" s="142"/>
      <c r="F613" s="142"/>
      <c r="G613" s="142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42"/>
      <c r="B614" s="142"/>
      <c r="C614" s="142"/>
      <c r="D614" s="142"/>
      <c r="E614" s="142"/>
      <c r="F614" s="142"/>
      <c r="G614" s="142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42"/>
      <c r="B615" s="142"/>
      <c r="C615" s="142"/>
      <c r="D615" s="142"/>
      <c r="E615" s="142"/>
      <c r="F615" s="142"/>
      <c r="G615" s="142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42"/>
      <c r="B616" s="142"/>
      <c r="C616" s="142"/>
      <c r="D616" s="142"/>
      <c r="E616" s="142"/>
      <c r="F616" s="142"/>
      <c r="G616" s="142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42"/>
      <c r="B617" s="142"/>
      <c r="C617" s="142"/>
      <c r="D617" s="142"/>
      <c r="E617" s="142"/>
      <c r="F617" s="142"/>
      <c r="G617" s="142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42"/>
      <c r="B618" s="142"/>
      <c r="C618" s="142"/>
      <c r="D618" s="142"/>
      <c r="E618" s="142"/>
      <c r="F618" s="142"/>
      <c r="G618" s="142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42"/>
      <c r="B619" s="142"/>
      <c r="C619" s="142"/>
      <c r="D619" s="142"/>
      <c r="E619" s="142"/>
      <c r="F619" s="142"/>
      <c r="G619" s="142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42"/>
      <c r="B620" s="142"/>
      <c r="C620" s="142"/>
      <c r="D620" s="142"/>
      <c r="E620" s="142"/>
      <c r="F620" s="142"/>
      <c r="G620" s="142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42"/>
      <c r="B621" s="142"/>
      <c r="C621" s="142"/>
      <c r="D621" s="142"/>
      <c r="E621" s="142"/>
      <c r="F621" s="142"/>
      <c r="G621" s="142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42"/>
      <c r="B622" s="142"/>
      <c r="C622" s="142"/>
      <c r="D622" s="142"/>
      <c r="E622" s="142"/>
      <c r="F622" s="142"/>
      <c r="G622" s="142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42"/>
      <c r="B623" s="142"/>
      <c r="C623" s="142"/>
      <c r="D623" s="142"/>
      <c r="E623" s="142"/>
      <c r="F623" s="142"/>
      <c r="G623" s="142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42"/>
      <c r="B624" s="142"/>
      <c r="C624" s="142"/>
      <c r="D624" s="142"/>
      <c r="E624" s="142"/>
      <c r="F624" s="142"/>
      <c r="G624" s="142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42"/>
      <c r="B625" s="142"/>
      <c r="C625" s="142"/>
      <c r="D625" s="142"/>
      <c r="E625" s="142"/>
      <c r="F625" s="142"/>
      <c r="G625" s="142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42"/>
      <c r="B626" s="142"/>
      <c r="C626" s="142"/>
      <c r="D626" s="142"/>
      <c r="E626" s="142"/>
      <c r="F626" s="142"/>
      <c r="G626" s="142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42"/>
      <c r="B627" s="142"/>
      <c r="C627" s="142"/>
      <c r="D627" s="142"/>
      <c r="E627" s="142"/>
      <c r="F627" s="142"/>
      <c r="G627" s="142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42"/>
      <c r="B628" s="142"/>
      <c r="C628" s="142"/>
      <c r="D628" s="142"/>
      <c r="E628" s="142"/>
      <c r="F628" s="142"/>
      <c r="G628" s="142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42"/>
      <c r="B629" s="142"/>
      <c r="C629" s="142"/>
      <c r="D629" s="142"/>
      <c r="E629" s="142"/>
      <c r="F629" s="142"/>
      <c r="G629" s="142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42"/>
      <c r="B630" s="142"/>
      <c r="C630" s="142"/>
      <c r="D630" s="142"/>
      <c r="E630" s="142"/>
      <c r="F630" s="142"/>
      <c r="G630" s="142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42"/>
      <c r="B631" s="142"/>
      <c r="C631" s="142"/>
      <c r="D631" s="142"/>
      <c r="E631" s="142"/>
      <c r="F631" s="142"/>
      <c r="G631" s="142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42"/>
      <c r="B632" s="142"/>
      <c r="C632" s="142"/>
      <c r="D632" s="142"/>
      <c r="E632" s="142"/>
      <c r="F632" s="142"/>
      <c r="G632" s="142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42"/>
      <c r="B633" s="142"/>
      <c r="C633" s="142"/>
      <c r="D633" s="142"/>
      <c r="E633" s="142"/>
      <c r="F633" s="142"/>
      <c r="G633" s="142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42"/>
      <c r="B634" s="142"/>
      <c r="C634" s="142"/>
      <c r="D634" s="142"/>
      <c r="E634" s="142"/>
      <c r="F634" s="142"/>
      <c r="G634" s="142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42"/>
      <c r="B635" s="142"/>
      <c r="C635" s="142"/>
      <c r="D635" s="142"/>
      <c r="E635" s="142"/>
      <c r="F635" s="142"/>
      <c r="G635" s="142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42"/>
      <c r="B636" s="142"/>
      <c r="C636" s="142"/>
      <c r="D636" s="142"/>
      <c r="E636" s="142"/>
      <c r="F636" s="142"/>
      <c r="G636" s="142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42"/>
      <c r="B637" s="142"/>
      <c r="C637" s="142"/>
      <c r="D637" s="142"/>
      <c r="E637" s="142"/>
      <c r="F637" s="142"/>
      <c r="G637" s="142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42"/>
      <c r="B638" s="142"/>
      <c r="C638" s="142"/>
      <c r="D638" s="142"/>
      <c r="E638" s="142"/>
      <c r="F638" s="142"/>
      <c r="G638" s="142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42"/>
      <c r="B639" s="142"/>
      <c r="C639" s="142"/>
      <c r="D639" s="142"/>
      <c r="E639" s="142"/>
      <c r="F639" s="142"/>
      <c r="G639" s="142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42"/>
      <c r="B640" s="142"/>
      <c r="C640" s="142"/>
      <c r="D640" s="142"/>
      <c r="E640" s="142"/>
      <c r="F640" s="142"/>
      <c r="G640" s="142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42"/>
      <c r="B641" s="142"/>
      <c r="C641" s="142"/>
      <c r="D641" s="142"/>
      <c r="E641" s="142"/>
      <c r="F641" s="142"/>
      <c r="G641" s="142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42"/>
      <c r="B642" s="142"/>
      <c r="C642" s="142"/>
      <c r="D642" s="142"/>
      <c r="E642" s="142"/>
      <c r="F642" s="142"/>
      <c r="G642" s="142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42"/>
      <c r="B643" s="142"/>
      <c r="C643" s="142"/>
      <c r="D643" s="142"/>
      <c r="E643" s="142"/>
      <c r="F643" s="142"/>
      <c r="G643" s="142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42"/>
      <c r="B644" s="142"/>
      <c r="C644" s="142"/>
      <c r="D644" s="142"/>
      <c r="E644" s="142"/>
      <c r="F644" s="142"/>
      <c r="G644" s="142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42"/>
      <c r="B645" s="142"/>
      <c r="C645" s="142"/>
      <c r="D645" s="142"/>
      <c r="E645" s="142"/>
      <c r="F645" s="142"/>
      <c r="G645" s="142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42"/>
      <c r="B646" s="142"/>
      <c r="C646" s="142"/>
      <c r="D646" s="142"/>
      <c r="E646" s="142"/>
      <c r="F646" s="142"/>
      <c r="G646" s="142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42"/>
      <c r="B647" s="142"/>
      <c r="C647" s="142"/>
      <c r="D647" s="142"/>
      <c r="E647" s="142"/>
      <c r="F647" s="142"/>
      <c r="G647" s="142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42"/>
      <c r="B648" s="142"/>
      <c r="C648" s="142"/>
      <c r="D648" s="142"/>
      <c r="E648" s="142"/>
      <c r="F648" s="142"/>
      <c r="G648" s="142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42"/>
      <c r="B649" s="142"/>
      <c r="C649" s="142"/>
      <c r="D649" s="142"/>
      <c r="E649" s="142"/>
      <c r="F649" s="142"/>
      <c r="G649" s="142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42"/>
      <c r="B650" s="142"/>
      <c r="C650" s="142"/>
      <c r="D650" s="142"/>
      <c r="E650" s="142"/>
      <c r="F650" s="142"/>
      <c r="G650" s="142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42"/>
      <c r="B651" s="142"/>
      <c r="C651" s="142"/>
      <c r="D651" s="142"/>
      <c r="E651" s="142"/>
      <c r="F651" s="142"/>
      <c r="G651" s="142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42"/>
      <c r="B652" s="142"/>
      <c r="C652" s="142"/>
      <c r="D652" s="142"/>
      <c r="E652" s="142"/>
      <c r="F652" s="142"/>
      <c r="G652" s="142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42"/>
      <c r="B653" s="142"/>
      <c r="C653" s="142"/>
      <c r="D653" s="142"/>
      <c r="E653" s="142"/>
      <c r="F653" s="142"/>
      <c r="G653" s="142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42"/>
      <c r="B654" s="142"/>
      <c r="C654" s="142"/>
      <c r="D654" s="142"/>
      <c r="E654" s="142"/>
      <c r="F654" s="142"/>
      <c r="G654" s="142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42"/>
      <c r="B655" s="142"/>
      <c r="C655" s="142"/>
      <c r="D655" s="142"/>
      <c r="E655" s="142"/>
      <c r="F655" s="142"/>
      <c r="G655" s="142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42"/>
      <c r="B656" s="142"/>
      <c r="C656" s="142"/>
      <c r="D656" s="142"/>
      <c r="E656" s="142"/>
      <c r="F656" s="142"/>
      <c r="G656" s="142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42"/>
      <c r="B657" s="142"/>
      <c r="C657" s="142"/>
      <c r="D657" s="142"/>
      <c r="E657" s="142"/>
      <c r="F657" s="142"/>
      <c r="G657" s="142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42"/>
      <c r="B658" s="142"/>
      <c r="C658" s="142"/>
      <c r="D658" s="142"/>
      <c r="E658" s="142"/>
      <c r="F658" s="142"/>
      <c r="G658" s="142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42"/>
      <c r="B659" s="142"/>
      <c r="C659" s="142"/>
      <c r="D659" s="142"/>
      <c r="E659" s="142"/>
      <c r="F659" s="142"/>
      <c r="G659" s="142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42"/>
      <c r="B660" s="142"/>
      <c r="C660" s="142"/>
      <c r="D660" s="142"/>
      <c r="E660" s="142"/>
      <c r="F660" s="142"/>
      <c r="G660" s="142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42"/>
      <c r="B661" s="142"/>
      <c r="C661" s="142"/>
      <c r="D661" s="142"/>
      <c r="E661" s="142"/>
      <c r="F661" s="142"/>
      <c r="G661" s="142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42"/>
      <c r="B662" s="142"/>
      <c r="C662" s="142"/>
      <c r="D662" s="142"/>
      <c r="E662" s="142"/>
      <c r="F662" s="142"/>
      <c r="G662" s="142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42"/>
      <c r="B663" s="142"/>
      <c r="C663" s="142"/>
      <c r="D663" s="142"/>
      <c r="E663" s="142"/>
      <c r="F663" s="142"/>
      <c r="G663" s="142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42"/>
      <c r="B664" s="142"/>
      <c r="C664" s="142"/>
      <c r="D664" s="142"/>
      <c r="E664" s="142"/>
      <c r="F664" s="142"/>
      <c r="G664" s="142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42"/>
      <c r="B665" s="142"/>
      <c r="C665" s="142"/>
      <c r="D665" s="142"/>
      <c r="E665" s="142"/>
      <c r="F665" s="142"/>
      <c r="G665" s="142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42"/>
      <c r="B666" s="142"/>
      <c r="C666" s="142"/>
      <c r="D666" s="142"/>
      <c r="E666" s="142"/>
      <c r="F666" s="142"/>
      <c r="G666" s="142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42"/>
      <c r="B667" s="142"/>
      <c r="C667" s="142"/>
      <c r="D667" s="142"/>
      <c r="E667" s="142"/>
      <c r="F667" s="142"/>
      <c r="G667" s="142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42"/>
      <c r="B668" s="142"/>
      <c r="C668" s="142"/>
      <c r="D668" s="142"/>
      <c r="E668" s="142"/>
      <c r="F668" s="142"/>
      <c r="G668" s="142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42"/>
      <c r="B669" s="142"/>
      <c r="C669" s="142"/>
      <c r="D669" s="142"/>
      <c r="E669" s="142"/>
      <c r="F669" s="142"/>
      <c r="G669" s="142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42"/>
      <c r="B670" s="142"/>
      <c r="C670" s="142"/>
      <c r="D670" s="142"/>
      <c r="E670" s="142"/>
      <c r="F670" s="142"/>
      <c r="G670" s="142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42"/>
      <c r="B671" s="142"/>
      <c r="C671" s="142"/>
      <c r="D671" s="142"/>
      <c r="E671" s="142"/>
      <c r="F671" s="142"/>
      <c r="G671" s="142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42"/>
      <c r="B672" s="142"/>
      <c r="C672" s="142"/>
      <c r="D672" s="142"/>
      <c r="E672" s="142"/>
      <c r="F672" s="142"/>
      <c r="G672" s="142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42"/>
      <c r="B673" s="142"/>
      <c r="C673" s="142"/>
      <c r="D673" s="142"/>
      <c r="E673" s="142"/>
      <c r="F673" s="142"/>
      <c r="G673" s="142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42"/>
      <c r="B674" s="142"/>
      <c r="C674" s="142"/>
      <c r="D674" s="142"/>
      <c r="E674" s="142"/>
      <c r="F674" s="142"/>
      <c r="G674" s="142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42"/>
      <c r="B675" s="142"/>
      <c r="C675" s="142"/>
      <c r="D675" s="142"/>
      <c r="E675" s="142"/>
      <c r="F675" s="142"/>
      <c r="G675" s="142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42"/>
      <c r="B676" s="142"/>
      <c r="C676" s="142"/>
      <c r="D676" s="142"/>
      <c r="E676" s="142"/>
      <c r="F676" s="142"/>
      <c r="G676" s="142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42"/>
      <c r="B677" s="142"/>
      <c r="C677" s="142"/>
      <c r="D677" s="142"/>
      <c r="E677" s="142"/>
      <c r="F677" s="142"/>
      <c r="G677" s="142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42"/>
      <c r="B678" s="142"/>
      <c r="C678" s="142"/>
      <c r="D678" s="142"/>
      <c r="E678" s="142"/>
      <c r="F678" s="142"/>
      <c r="G678" s="142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42"/>
      <c r="B679" s="142"/>
      <c r="C679" s="142"/>
      <c r="D679" s="142"/>
      <c r="E679" s="142"/>
      <c r="F679" s="142"/>
      <c r="G679" s="142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42"/>
      <c r="B680" s="142"/>
      <c r="C680" s="142"/>
      <c r="D680" s="142"/>
      <c r="E680" s="142"/>
      <c r="F680" s="142"/>
      <c r="G680" s="142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42"/>
      <c r="B681" s="142"/>
      <c r="C681" s="142"/>
      <c r="D681" s="142"/>
      <c r="E681" s="142"/>
      <c r="F681" s="142"/>
      <c r="G681" s="142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42"/>
      <c r="B682" s="142"/>
      <c r="C682" s="142"/>
      <c r="D682" s="142"/>
      <c r="E682" s="142"/>
      <c r="F682" s="142"/>
      <c r="G682" s="142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42"/>
      <c r="B683" s="142"/>
      <c r="C683" s="142"/>
      <c r="D683" s="142"/>
      <c r="E683" s="142"/>
      <c r="F683" s="142"/>
      <c r="G683" s="142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42"/>
      <c r="B684" s="142"/>
      <c r="C684" s="142"/>
      <c r="D684" s="142"/>
      <c r="E684" s="142"/>
      <c r="F684" s="142"/>
      <c r="G684" s="142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42"/>
      <c r="B685" s="142"/>
      <c r="C685" s="142"/>
      <c r="D685" s="142"/>
      <c r="E685" s="142"/>
      <c r="F685" s="142"/>
      <c r="G685" s="142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42"/>
      <c r="B686" s="142"/>
      <c r="C686" s="142"/>
      <c r="D686" s="142"/>
      <c r="E686" s="142"/>
      <c r="F686" s="142"/>
      <c r="G686" s="142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42"/>
      <c r="B687" s="142"/>
      <c r="C687" s="142"/>
      <c r="D687" s="142"/>
      <c r="E687" s="142"/>
      <c r="F687" s="142"/>
      <c r="G687" s="142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42"/>
      <c r="B688" s="142"/>
      <c r="C688" s="142"/>
      <c r="D688" s="142"/>
      <c r="E688" s="142"/>
      <c r="F688" s="142"/>
      <c r="G688" s="142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42"/>
      <c r="B689" s="142"/>
      <c r="C689" s="142"/>
      <c r="D689" s="142"/>
      <c r="E689" s="142"/>
      <c r="F689" s="142"/>
      <c r="G689" s="142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42"/>
      <c r="B690" s="142"/>
      <c r="C690" s="142"/>
      <c r="D690" s="142"/>
      <c r="E690" s="142"/>
      <c r="F690" s="142"/>
      <c r="G690" s="142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42"/>
      <c r="B691" s="142"/>
      <c r="C691" s="142"/>
      <c r="D691" s="142"/>
      <c r="E691" s="142"/>
      <c r="F691" s="142"/>
      <c r="G691" s="142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42"/>
      <c r="B692" s="142"/>
      <c r="C692" s="142"/>
      <c r="D692" s="142"/>
      <c r="E692" s="142"/>
      <c r="F692" s="142"/>
      <c r="G692" s="142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42"/>
      <c r="B693" s="142"/>
      <c r="C693" s="142"/>
      <c r="D693" s="142"/>
      <c r="E693" s="142"/>
      <c r="F693" s="142"/>
      <c r="G693" s="142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42"/>
      <c r="B694" s="142"/>
      <c r="C694" s="142"/>
      <c r="D694" s="142"/>
      <c r="E694" s="142"/>
      <c r="F694" s="142"/>
      <c r="G694" s="142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42"/>
      <c r="B695" s="142"/>
      <c r="C695" s="142"/>
      <c r="D695" s="142"/>
      <c r="E695" s="142"/>
      <c r="F695" s="142"/>
      <c r="G695" s="142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42"/>
      <c r="B696" s="142"/>
      <c r="C696" s="142"/>
      <c r="D696" s="142"/>
      <c r="E696" s="142"/>
      <c r="F696" s="142"/>
      <c r="G696" s="142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42"/>
      <c r="B697" s="142"/>
      <c r="C697" s="142"/>
      <c r="D697" s="142"/>
      <c r="E697" s="142"/>
      <c r="F697" s="142"/>
      <c r="G697" s="142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42"/>
      <c r="B698" s="142"/>
      <c r="C698" s="142"/>
      <c r="D698" s="142"/>
      <c r="E698" s="142"/>
      <c r="F698" s="142"/>
      <c r="G698" s="142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42"/>
      <c r="B699" s="142"/>
      <c r="C699" s="142"/>
      <c r="D699" s="142"/>
      <c r="E699" s="142"/>
      <c r="F699" s="142"/>
      <c r="G699" s="142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42"/>
      <c r="B700" s="142"/>
      <c r="C700" s="142"/>
      <c r="D700" s="142"/>
      <c r="E700" s="142"/>
      <c r="F700" s="142"/>
      <c r="G700" s="142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42"/>
      <c r="B701" s="142"/>
      <c r="C701" s="142"/>
      <c r="D701" s="142"/>
      <c r="E701" s="142"/>
      <c r="F701" s="142"/>
      <c r="G701" s="142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42"/>
      <c r="B702" s="142"/>
      <c r="C702" s="142"/>
      <c r="D702" s="142"/>
      <c r="E702" s="142"/>
      <c r="F702" s="142"/>
      <c r="G702" s="142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42"/>
      <c r="B703" s="142"/>
      <c r="C703" s="142"/>
      <c r="D703" s="142"/>
      <c r="E703" s="142"/>
      <c r="F703" s="142"/>
      <c r="G703" s="142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42"/>
      <c r="B704" s="142"/>
      <c r="C704" s="142"/>
      <c r="D704" s="142"/>
      <c r="E704" s="142"/>
      <c r="F704" s="142"/>
      <c r="G704" s="142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42"/>
      <c r="B705" s="142"/>
      <c r="C705" s="142"/>
      <c r="D705" s="142"/>
      <c r="E705" s="142"/>
      <c r="F705" s="142"/>
      <c r="G705" s="142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42"/>
      <c r="B706" s="142"/>
      <c r="C706" s="142"/>
      <c r="D706" s="142"/>
      <c r="E706" s="142"/>
      <c r="F706" s="142"/>
      <c r="G706" s="142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42"/>
      <c r="B707" s="142"/>
      <c r="C707" s="142"/>
      <c r="D707" s="142"/>
      <c r="E707" s="142"/>
      <c r="F707" s="142"/>
      <c r="G707" s="142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42"/>
      <c r="B708" s="142"/>
      <c r="C708" s="142"/>
      <c r="D708" s="142"/>
      <c r="E708" s="142"/>
      <c r="F708" s="142"/>
      <c r="G708" s="142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42"/>
      <c r="B709" s="142"/>
      <c r="C709" s="142"/>
      <c r="D709" s="142"/>
      <c r="E709" s="142"/>
      <c r="F709" s="142"/>
      <c r="G709" s="142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42"/>
      <c r="B710" s="142"/>
      <c r="C710" s="142"/>
      <c r="D710" s="142"/>
      <c r="E710" s="142"/>
      <c r="F710" s="142"/>
      <c r="G710" s="142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42"/>
      <c r="B711" s="142"/>
      <c r="C711" s="142"/>
      <c r="D711" s="142"/>
      <c r="E711" s="142"/>
      <c r="F711" s="142"/>
      <c r="G711" s="142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42"/>
      <c r="B712" s="142"/>
      <c r="C712" s="142"/>
      <c r="D712" s="142"/>
      <c r="E712" s="142"/>
      <c r="F712" s="142"/>
      <c r="G712" s="142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42"/>
      <c r="B713" s="142"/>
      <c r="C713" s="142"/>
      <c r="D713" s="142"/>
      <c r="E713" s="142"/>
      <c r="F713" s="142"/>
      <c r="G713" s="142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42"/>
      <c r="B714" s="142"/>
      <c r="C714" s="142"/>
      <c r="D714" s="142"/>
      <c r="E714" s="142"/>
      <c r="F714" s="142"/>
      <c r="G714" s="142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42"/>
      <c r="B715" s="142"/>
      <c r="C715" s="142"/>
      <c r="D715" s="142"/>
      <c r="E715" s="142"/>
      <c r="F715" s="142"/>
      <c r="G715" s="142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42"/>
      <c r="B716" s="142"/>
      <c r="C716" s="142"/>
      <c r="D716" s="142"/>
      <c r="E716" s="142"/>
      <c r="F716" s="142"/>
      <c r="G716" s="142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42"/>
      <c r="B717" s="142"/>
      <c r="C717" s="142"/>
      <c r="D717" s="142"/>
      <c r="E717" s="142"/>
      <c r="F717" s="142"/>
      <c r="G717" s="142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42"/>
      <c r="B718" s="142"/>
      <c r="C718" s="142"/>
      <c r="D718" s="142"/>
      <c r="E718" s="142"/>
      <c r="F718" s="142"/>
      <c r="G718" s="142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42"/>
      <c r="B719" s="142"/>
      <c r="C719" s="142"/>
      <c r="D719" s="142"/>
      <c r="E719" s="142"/>
      <c r="F719" s="142"/>
      <c r="G719" s="142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42"/>
      <c r="B720" s="142"/>
      <c r="C720" s="142"/>
      <c r="D720" s="142"/>
      <c r="E720" s="142"/>
      <c r="F720" s="142"/>
      <c r="G720" s="142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42"/>
      <c r="B721" s="142"/>
      <c r="C721" s="142"/>
      <c r="D721" s="142"/>
      <c r="E721" s="142"/>
      <c r="F721" s="142"/>
      <c r="G721" s="142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42"/>
      <c r="B722" s="142"/>
      <c r="C722" s="142"/>
      <c r="D722" s="142"/>
      <c r="E722" s="142"/>
      <c r="F722" s="142"/>
      <c r="G722" s="142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42"/>
      <c r="B723" s="142"/>
      <c r="C723" s="142"/>
      <c r="D723" s="142"/>
      <c r="E723" s="142"/>
      <c r="F723" s="142"/>
      <c r="G723" s="142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42"/>
      <c r="B724" s="142"/>
      <c r="C724" s="142"/>
      <c r="D724" s="142"/>
      <c r="E724" s="142"/>
      <c r="F724" s="142"/>
      <c r="G724" s="142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42"/>
      <c r="B725" s="142"/>
      <c r="C725" s="142"/>
      <c r="D725" s="142"/>
      <c r="E725" s="142"/>
      <c r="F725" s="142"/>
      <c r="G725" s="142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42"/>
      <c r="B726" s="142"/>
      <c r="C726" s="142"/>
      <c r="D726" s="142"/>
      <c r="E726" s="142"/>
      <c r="F726" s="142"/>
      <c r="G726" s="142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42"/>
      <c r="B727" s="142"/>
      <c r="C727" s="142"/>
      <c r="D727" s="142"/>
      <c r="E727" s="142"/>
      <c r="F727" s="142"/>
      <c r="G727" s="142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42"/>
      <c r="B728" s="142"/>
      <c r="C728" s="142"/>
      <c r="D728" s="142"/>
      <c r="E728" s="142"/>
      <c r="F728" s="142"/>
      <c r="G728" s="142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42"/>
      <c r="B729" s="142"/>
      <c r="C729" s="142"/>
      <c r="D729" s="142"/>
      <c r="E729" s="142"/>
      <c r="F729" s="142"/>
      <c r="G729" s="142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42"/>
      <c r="B730" s="142"/>
      <c r="C730" s="142"/>
      <c r="D730" s="142"/>
      <c r="E730" s="142"/>
      <c r="F730" s="142"/>
      <c r="G730" s="142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42"/>
      <c r="B731" s="142"/>
      <c r="C731" s="142"/>
      <c r="D731" s="142"/>
      <c r="E731" s="142"/>
      <c r="F731" s="142"/>
      <c r="G731" s="142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42"/>
      <c r="B732" s="142"/>
      <c r="C732" s="142"/>
      <c r="D732" s="142"/>
      <c r="E732" s="142"/>
      <c r="F732" s="142"/>
      <c r="G732" s="142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42"/>
      <c r="B733" s="142"/>
      <c r="C733" s="142"/>
      <c r="D733" s="142"/>
      <c r="E733" s="142"/>
      <c r="F733" s="142"/>
      <c r="G733" s="142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42"/>
      <c r="B734" s="142"/>
      <c r="C734" s="142"/>
      <c r="D734" s="142"/>
      <c r="E734" s="142"/>
      <c r="F734" s="142"/>
      <c r="G734" s="142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42"/>
      <c r="B735" s="142"/>
      <c r="C735" s="142"/>
      <c r="D735" s="142"/>
      <c r="E735" s="142"/>
      <c r="F735" s="142"/>
      <c r="G735" s="142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42"/>
      <c r="B736" s="142"/>
      <c r="C736" s="142"/>
      <c r="D736" s="142"/>
      <c r="E736" s="142"/>
      <c r="F736" s="142"/>
      <c r="G736" s="142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42"/>
      <c r="B737" s="142"/>
      <c r="C737" s="142"/>
      <c r="D737" s="142"/>
      <c r="E737" s="142"/>
      <c r="F737" s="142"/>
      <c r="G737" s="142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42"/>
      <c r="B738" s="142"/>
      <c r="C738" s="142"/>
      <c r="D738" s="142"/>
      <c r="E738" s="142"/>
      <c r="F738" s="142"/>
      <c r="G738" s="142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42"/>
      <c r="B739" s="142"/>
      <c r="C739" s="142"/>
      <c r="D739" s="142"/>
      <c r="E739" s="142"/>
      <c r="F739" s="142"/>
      <c r="G739" s="142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42"/>
      <c r="B740" s="142"/>
      <c r="C740" s="142"/>
      <c r="D740" s="142"/>
      <c r="E740" s="142"/>
      <c r="F740" s="142"/>
      <c r="G740" s="142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42"/>
      <c r="B741" s="142"/>
      <c r="C741" s="142"/>
      <c r="D741" s="142"/>
      <c r="E741" s="142"/>
      <c r="F741" s="142"/>
      <c r="G741" s="142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42"/>
      <c r="B742" s="142"/>
      <c r="C742" s="142"/>
      <c r="D742" s="142"/>
      <c r="E742" s="142"/>
      <c r="F742" s="142"/>
      <c r="G742" s="142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42"/>
      <c r="B743" s="142"/>
      <c r="C743" s="142"/>
      <c r="D743" s="142"/>
      <c r="E743" s="142"/>
      <c r="F743" s="142"/>
      <c r="G743" s="142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42"/>
      <c r="B744" s="142"/>
      <c r="C744" s="142"/>
      <c r="D744" s="142"/>
      <c r="E744" s="142"/>
      <c r="F744" s="142"/>
      <c r="G744" s="142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42"/>
      <c r="B745" s="142"/>
      <c r="C745" s="142"/>
      <c r="D745" s="142"/>
      <c r="E745" s="142"/>
      <c r="F745" s="142"/>
      <c r="G745" s="142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42"/>
      <c r="B746" s="142"/>
      <c r="C746" s="142"/>
      <c r="D746" s="142"/>
      <c r="E746" s="142"/>
      <c r="F746" s="142"/>
      <c r="G746" s="142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42"/>
      <c r="B747" s="142"/>
      <c r="C747" s="142"/>
      <c r="D747" s="142"/>
      <c r="E747" s="142"/>
      <c r="F747" s="142"/>
      <c r="G747" s="142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42"/>
      <c r="B748" s="142"/>
      <c r="C748" s="142"/>
      <c r="D748" s="142"/>
      <c r="E748" s="142"/>
      <c r="F748" s="142"/>
      <c r="G748" s="142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42"/>
      <c r="B749" s="142"/>
      <c r="C749" s="142"/>
      <c r="D749" s="142"/>
      <c r="E749" s="142"/>
      <c r="F749" s="142"/>
      <c r="G749" s="142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42"/>
      <c r="B750" s="142"/>
      <c r="C750" s="142"/>
      <c r="D750" s="142"/>
      <c r="E750" s="142"/>
      <c r="F750" s="142"/>
      <c r="G750" s="142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42"/>
      <c r="B751" s="142"/>
      <c r="C751" s="142"/>
      <c r="D751" s="142"/>
      <c r="E751" s="142"/>
      <c r="F751" s="142"/>
      <c r="G751" s="142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42"/>
      <c r="B752" s="142"/>
      <c r="C752" s="142"/>
      <c r="D752" s="142"/>
      <c r="E752" s="142"/>
      <c r="F752" s="142"/>
      <c r="G752" s="142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42"/>
      <c r="B753" s="142"/>
      <c r="C753" s="142"/>
      <c r="D753" s="142"/>
      <c r="E753" s="142"/>
      <c r="F753" s="142"/>
      <c r="G753" s="142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42"/>
      <c r="B754" s="142"/>
      <c r="C754" s="142"/>
      <c r="D754" s="142"/>
      <c r="E754" s="142"/>
      <c r="F754" s="142"/>
      <c r="G754" s="142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42"/>
      <c r="B755" s="142"/>
      <c r="C755" s="142"/>
      <c r="D755" s="142"/>
      <c r="E755" s="142"/>
      <c r="F755" s="142"/>
      <c r="G755" s="142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42"/>
      <c r="B756" s="142"/>
      <c r="C756" s="142"/>
      <c r="D756" s="142"/>
      <c r="E756" s="142"/>
      <c r="F756" s="142"/>
      <c r="G756" s="142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42"/>
      <c r="B757" s="142"/>
      <c r="C757" s="142"/>
      <c r="D757" s="142"/>
      <c r="E757" s="142"/>
      <c r="F757" s="142"/>
      <c r="G757" s="142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42"/>
      <c r="B758" s="142"/>
      <c r="C758" s="142"/>
      <c r="D758" s="142"/>
      <c r="E758" s="142"/>
      <c r="F758" s="142"/>
      <c r="G758" s="142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42"/>
      <c r="B759" s="142"/>
      <c r="C759" s="142"/>
      <c r="D759" s="142"/>
      <c r="E759" s="142"/>
      <c r="F759" s="142"/>
      <c r="G759" s="142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42"/>
      <c r="B760" s="142"/>
      <c r="C760" s="142"/>
      <c r="D760" s="142"/>
      <c r="E760" s="142"/>
      <c r="F760" s="142"/>
      <c r="G760" s="142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42"/>
      <c r="B761" s="142"/>
      <c r="C761" s="142"/>
      <c r="D761" s="142"/>
      <c r="E761" s="142"/>
      <c r="F761" s="142"/>
      <c r="G761" s="142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42"/>
      <c r="B762" s="142"/>
      <c r="C762" s="142"/>
      <c r="D762" s="142"/>
      <c r="E762" s="142"/>
      <c r="F762" s="142"/>
      <c r="G762" s="142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42"/>
      <c r="B763" s="142"/>
      <c r="C763" s="142"/>
      <c r="D763" s="142"/>
      <c r="E763" s="142"/>
      <c r="F763" s="142"/>
      <c r="G763" s="142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42"/>
      <c r="B764" s="142"/>
      <c r="C764" s="142"/>
      <c r="D764" s="142"/>
      <c r="E764" s="142"/>
      <c r="F764" s="142"/>
      <c r="G764" s="142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42"/>
      <c r="B765" s="142"/>
      <c r="C765" s="142"/>
      <c r="D765" s="142"/>
      <c r="E765" s="142"/>
      <c r="F765" s="142"/>
      <c r="G765" s="142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42"/>
      <c r="B766" s="142"/>
      <c r="C766" s="142"/>
      <c r="D766" s="142"/>
      <c r="E766" s="142"/>
      <c r="F766" s="142"/>
      <c r="G766" s="142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42"/>
      <c r="B767" s="142"/>
      <c r="C767" s="142"/>
      <c r="D767" s="142"/>
      <c r="E767" s="142"/>
      <c r="F767" s="142"/>
      <c r="G767" s="142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42"/>
      <c r="B768" s="142"/>
      <c r="C768" s="142"/>
      <c r="D768" s="142"/>
      <c r="E768" s="142"/>
      <c r="F768" s="142"/>
      <c r="G768" s="142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42"/>
      <c r="B769" s="142"/>
      <c r="C769" s="142"/>
      <c r="D769" s="142"/>
      <c r="E769" s="142"/>
      <c r="F769" s="142"/>
      <c r="G769" s="142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42"/>
      <c r="B770" s="142"/>
      <c r="C770" s="142"/>
      <c r="D770" s="142"/>
      <c r="E770" s="142"/>
      <c r="F770" s="142"/>
      <c r="G770" s="142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42"/>
      <c r="B771" s="142"/>
      <c r="C771" s="142"/>
      <c r="D771" s="142"/>
      <c r="E771" s="142"/>
      <c r="F771" s="142"/>
      <c r="G771" s="142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42"/>
      <c r="B772" s="142"/>
      <c r="C772" s="142"/>
      <c r="D772" s="142"/>
      <c r="E772" s="142"/>
      <c r="F772" s="142"/>
      <c r="G772" s="142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42"/>
      <c r="B773" s="142"/>
      <c r="C773" s="142"/>
      <c r="D773" s="142"/>
      <c r="E773" s="142"/>
      <c r="F773" s="142"/>
      <c r="G773" s="142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42"/>
      <c r="B774" s="142"/>
      <c r="C774" s="142"/>
      <c r="D774" s="142"/>
      <c r="E774" s="142"/>
      <c r="F774" s="142"/>
      <c r="G774" s="142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42"/>
      <c r="B775" s="142"/>
      <c r="C775" s="142"/>
      <c r="D775" s="142"/>
      <c r="E775" s="142"/>
      <c r="F775" s="142"/>
      <c r="G775" s="142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42"/>
      <c r="B776" s="142"/>
      <c r="C776" s="142"/>
      <c r="D776" s="142"/>
      <c r="E776" s="142"/>
      <c r="F776" s="142"/>
      <c r="G776" s="142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42"/>
      <c r="B777" s="142"/>
      <c r="C777" s="142"/>
      <c r="D777" s="142"/>
      <c r="E777" s="142"/>
      <c r="F777" s="142"/>
      <c r="G777" s="142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42"/>
      <c r="B778" s="142"/>
      <c r="C778" s="142"/>
      <c r="D778" s="142"/>
      <c r="E778" s="142"/>
      <c r="F778" s="142"/>
      <c r="G778" s="142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42"/>
      <c r="B779" s="142"/>
      <c r="C779" s="142"/>
      <c r="D779" s="142"/>
      <c r="E779" s="142"/>
      <c r="F779" s="142"/>
      <c r="G779" s="142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42"/>
      <c r="B780" s="142"/>
      <c r="C780" s="142"/>
      <c r="D780" s="142"/>
      <c r="E780" s="142"/>
      <c r="F780" s="142"/>
      <c r="G780" s="142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42"/>
      <c r="B781" s="142"/>
      <c r="C781" s="142"/>
      <c r="D781" s="142"/>
      <c r="E781" s="142"/>
      <c r="F781" s="142"/>
      <c r="G781" s="142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42"/>
      <c r="B782" s="142"/>
      <c r="C782" s="142"/>
      <c r="D782" s="142"/>
      <c r="E782" s="142"/>
      <c r="F782" s="142"/>
      <c r="G782" s="142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42"/>
      <c r="B783" s="142"/>
      <c r="C783" s="142"/>
      <c r="D783" s="142"/>
      <c r="E783" s="142"/>
      <c r="F783" s="142"/>
      <c r="G783" s="142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42"/>
      <c r="B784" s="142"/>
      <c r="C784" s="142"/>
      <c r="D784" s="142"/>
      <c r="E784" s="142"/>
      <c r="F784" s="142"/>
      <c r="G784" s="142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42"/>
      <c r="B785" s="142"/>
      <c r="C785" s="142"/>
      <c r="D785" s="142"/>
      <c r="E785" s="142"/>
      <c r="F785" s="142"/>
      <c r="G785" s="142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42"/>
      <c r="B786" s="142"/>
      <c r="C786" s="142"/>
      <c r="D786" s="142"/>
      <c r="E786" s="142"/>
      <c r="F786" s="142"/>
      <c r="G786" s="142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42"/>
      <c r="B787" s="142"/>
      <c r="C787" s="142"/>
      <c r="D787" s="142"/>
      <c r="E787" s="142"/>
      <c r="F787" s="142"/>
      <c r="G787" s="142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42"/>
      <c r="B788" s="142"/>
      <c r="C788" s="142"/>
      <c r="D788" s="142"/>
      <c r="E788" s="142"/>
      <c r="F788" s="142"/>
      <c r="G788" s="142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42"/>
      <c r="B789" s="142"/>
      <c r="C789" s="142"/>
      <c r="D789" s="142"/>
      <c r="E789" s="142"/>
      <c r="F789" s="142"/>
      <c r="G789" s="142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42"/>
      <c r="B790" s="142"/>
      <c r="C790" s="142"/>
      <c r="D790" s="142"/>
      <c r="E790" s="142"/>
      <c r="F790" s="142"/>
      <c r="G790" s="142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42"/>
      <c r="B791" s="142"/>
      <c r="C791" s="142"/>
      <c r="D791" s="142"/>
      <c r="E791" s="142"/>
      <c r="F791" s="142"/>
      <c r="G791" s="142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42"/>
      <c r="B792" s="142"/>
      <c r="C792" s="142"/>
      <c r="D792" s="142"/>
      <c r="E792" s="142"/>
      <c r="F792" s="142"/>
      <c r="G792" s="142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42"/>
      <c r="B793" s="142"/>
      <c r="C793" s="142"/>
      <c r="D793" s="142"/>
      <c r="E793" s="142"/>
      <c r="F793" s="142"/>
      <c r="G793" s="142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42"/>
      <c r="B794" s="142"/>
      <c r="C794" s="142"/>
      <c r="D794" s="142"/>
      <c r="E794" s="142"/>
      <c r="F794" s="142"/>
      <c r="G794" s="142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42"/>
      <c r="B795" s="142"/>
      <c r="C795" s="142"/>
      <c r="D795" s="142"/>
      <c r="E795" s="142"/>
      <c r="F795" s="142"/>
      <c r="G795" s="142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42"/>
      <c r="B796" s="142"/>
      <c r="C796" s="142"/>
      <c r="D796" s="142"/>
      <c r="E796" s="142"/>
      <c r="F796" s="142"/>
      <c r="G796" s="142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42"/>
      <c r="B797" s="142"/>
      <c r="C797" s="142"/>
      <c r="D797" s="142"/>
      <c r="E797" s="142"/>
      <c r="F797" s="142"/>
      <c r="G797" s="142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42"/>
      <c r="B798" s="142"/>
      <c r="C798" s="142"/>
      <c r="D798" s="142"/>
      <c r="E798" s="142"/>
      <c r="F798" s="142"/>
      <c r="G798" s="142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42"/>
      <c r="B799" s="142"/>
      <c r="C799" s="142"/>
      <c r="D799" s="142"/>
      <c r="E799" s="142"/>
      <c r="F799" s="142"/>
      <c r="G799" s="142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42"/>
      <c r="B800" s="142"/>
      <c r="C800" s="142"/>
      <c r="D800" s="142"/>
      <c r="E800" s="142"/>
      <c r="F800" s="142"/>
      <c r="G800" s="142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42"/>
      <c r="B801" s="142"/>
      <c r="C801" s="142"/>
      <c r="D801" s="142"/>
      <c r="E801" s="142"/>
      <c r="F801" s="142"/>
      <c r="G801" s="142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42"/>
      <c r="B802" s="142"/>
      <c r="C802" s="142"/>
      <c r="D802" s="142"/>
      <c r="E802" s="142"/>
      <c r="F802" s="142"/>
      <c r="G802" s="142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42"/>
      <c r="B803" s="142"/>
      <c r="C803" s="142"/>
      <c r="D803" s="142"/>
      <c r="E803" s="142"/>
      <c r="F803" s="142"/>
      <c r="G803" s="142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42"/>
      <c r="B804" s="142"/>
      <c r="C804" s="142"/>
      <c r="D804" s="142"/>
      <c r="E804" s="142"/>
      <c r="F804" s="142"/>
      <c r="G804" s="142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42"/>
      <c r="B805" s="142"/>
      <c r="C805" s="142"/>
      <c r="D805" s="142"/>
      <c r="E805" s="142"/>
      <c r="F805" s="142"/>
      <c r="G805" s="142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42"/>
      <c r="B806" s="142"/>
      <c r="C806" s="142"/>
      <c r="D806" s="142"/>
      <c r="E806" s="142"/>
      <c r="F806" s="142"/>
      <c r="G806" s="142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42"/>
      <c r="B807" s="142"/>
      <c r="C807" s="142"/>
      <c r="D807" s="142"/>
      <c r="E807" s="142"/>
      <c r="F807" s="142"/>
      <c r="G807" s="142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42"/>
      <c r="B808" s="142"/>
      <c r="C808" s="142"/>
      <c r="D808" s="142"/>
      <c r="E808" s="142"/>
      <c r="F808" s="142"/>
      <c r="G808" s="142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42"/>
      <c r="B809" s="142"/>
      <c r="C809" s="142"/>
      <c r="D809" s="142"/>
      <c r="E809" s="142"/>
      <c r="F809" s="142"/>
      <c r="G809" s="142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42"/>
      <c r="B810" s="142"/>
      <c r="C810" s="142"/>
      <c r="D810" s="142"/>
      <c r="E810" s="142"/>
      <c r="F810" s="142"/>
      <c r="G810" s="142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42"/>
      <c r="B811" s="142"/>
      <c r="C811" s="142"/>
      <c r="D811" s="142"/>
      <c r="E811" s="142"/>
      <c r="F811" s="142"/>
      <c r="G811" s="142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42"/>
      <c r="B812" s="142"/>
      <c r="C812" s="142"/>
      <c r="D812" s="142"/>
      <c r="E812" s="142"/>
      <c r="F812" s="142"/>
      <c r="G812" s="142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42"/>
      <c r="B813" s="142"/>
      <c r="C813" s="142"/>
      <c r="D813" s="142"/>
      <c r="E813" s="142"/>
      <c r="F813" s="142"/>
      <c r="G813" s="142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42"/>
      <c r="B814" s="142"/>
      <c r="C814" s="142"/>
      <c r="D814" s="142"/>
      <c r="E814" s="142"/>
      <c r="F814" s="142"/>
      <c r="G814" s="142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42"/>
      <c r="B815" s="142"/>
      <c r="C815" s="142"/>
      <c r="D815" s="142"/>
      <c r="E815" s="142"/>
      <c r="F815" s="142"/>
      <c r="G815" s="142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42"/>
      <c r="B816" s="142"/>
      <c r="C816" s="142"/>
      <c r="D816" s="142"/>
      <c r="E816" s="142"/>
      <c r="F816" s="142"/>
      <c r="G816" s="142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42"/>
      <c r="B817" s="142"/>
      <c r="C817" s="142"/>
      <c r="D817" s="142"/>
      <c r="E817" s="142"/>
      <c r="F817" s="142"/>
      <c r="G817" s="142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42"/>
      <c r="B818" s="142"/>
      <c r="C818" s="142"/>
      <c r="D818" s="142"/>
      <c r="E818" s="142"/>
      <c r="F818" s="142"/>
      <c r="G818" s="142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42"/>
      <c r="B819" s="142"/>
      <c r="C819" s="142"/>
      <c r="D819" s="142"/>
      <c r="E819" s="142"/>
      <c r="F819" s="142"/>
      <c r="G819" s="142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42"/>
      <c r="B820" s="142"/>
      <c r="C820" s="142"/>
      <c r="D820" s="142"/>
      <c r="E820" s="142"/>
      <c r="F820" s="142"/>
      <c r="G820" s="142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42"/>
      <c r="B821" s="142"/>
      <c r="C821" s="142"/>
      <c r="D821" s="142"/>
      <c r="E821" s="142"/>
      <c r="F821" s="142"/>
      <c r="G821" s="142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42"/>
      <c r="B822" s="142"/>
      <c r="C822" s="142"/>
      <c r="D822" s="142"/>
      <c r="E822" s="142"/>
      <c r="F822" s="142"/>
      <c r="G822" s="142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42"/>
      <c r="B823" s="142"/>
      <c r="C823" s="142"/>
      <c r="D823" s="142"/>
      <c r="E823" s="142"/>
      <c r="F823" s="142"/>
      <c r="G823" s="142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42"/>
      <c r="B824" s="142"/>
      <c r="C824" s="142"/>
      <c r="D824" s="142"/>
      <c r="E824" s="142"/>
      <c r="F824" s="142"/>
      <c r="G824" s="142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42"/>
      <c r="B825" s="142"/>
      <c r="C825" s="142"/>
      <c r="D825" s="142"/>
      <c r="E825" s="142"/>
      <c r="F825" s="142"/>
      <c r="G825" s="142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42"/>
      <c r="B826" s="142"/>
      <c r="C826" s="142"/>
      <c r="D826" s="142"/>
      <c r="E826" s="142"/>
      <c r="F826" s="142"/>
      <c r="G826" s="142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42"/>
      <c r="B827" s="142"/>
      <c r="C827" s="142"/>
      <c r="D827" s="142"/>
      <c r="E827" s="142"/>
      <c r="F827" s="142"/>
      <c r="G827" s="142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42"/>
      <c r="B828" s="142"/>
      <c r="C828" s="142"/>
      <c r="D828" s="142"/>
      <c r="E828" s="142"/>
      <c r="F828" s="142"/>
      <c r="G828" s="142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42"/>
      <c r="B829" s="142"/>
      <c r="C829" s="142"/>
      <c r="D829" s="142"/>
      <c r="E829" s="142"/>
      <c r="F829" s="142"/>
      <c r="G829" s="142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42"/>
      <c r="B830" s="142"/>
      <c r="C830" s="142"/>
      <c r="D830" s="142"/>
      <c r="E830" s="142"/>
      <c r="F830" s="142"/>
      <c r="G830" s="142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42"/>
      <c r="B831" s="142"/>
      <c r="C831" s="142"/>
      <c r="D831" s="142"/>
      <c r="E831" s="142"/>
      <c r="F831" s="142"/>
      <c r="G831" s="142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42"/>
      <c r="B832" s="142"/>
      <c r="C832" s="142"/>
      <c r="D832" s="142"/>
      <c r="E832" s="142"/>
      <c r="F832" s="142"/>
      <c r="G832" s="142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42"/>
      <c r="B833" s="142"/>
      <c r="C833" s="142"/>
      <c r="D833" s="142"/>
      <c r="E833" s="142"/>
      <c r="F833" s="142"/>
      <c r="G833" s="142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42"/>
      <c r="B834" s="142"/>
      <c r="C834" s="142"/>
      <c r="D834" s="142"/>
      <c r="E834" s="142"/>
      <c r="F834" s="142"/>
      <c r="G834" s="142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42"/>
      <c r="B835" s="142"/>
      <c r="C835" s="142"/>
      <c r="D835" s="142"/>
      <c r="E835" s="142"/>
      <c r="F835" s="142"/>
      <c r="G835" s="142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42"/>
      <c r="B836" s="142"/>
      <c r="C836" s="142"/>
      <c r="D836" s="142"/>
      <c r="E836" s="142"/>
      <c r="F836" s="142"/>
      <c r="G836" s="142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42"/>
      <c r="B837" s="142"/>
      <c r="C837" s="142"/>
      <c r="D837" s="142"/>
      <c r="E837" s="142"/>
      <c r="F837" s="142"/>
      <c r="G837" s="142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42"/>
      <c r="B838" s="142"/>
      <c r="C838" s="142"/>
      <c r="D838" s="142"/>
      <c r="E838" s="142"/>
      <c r="F838" s="142"/>
      <c r="G838" s="142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42"/>
      <c r="B839" s="142"/>
      <c r="C839" s="142"/>
      <c r="D839" s="142"/>
      <c r="E839" s="142"/>
      <c r="F839" s="142"/>
      <c r="G839" s="142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42"/>
      <c r="B840" s="142"/>
      <c r="C840" s="142"/>
      <c r="D840" s="142"/>
      <c r="E840" s="142"/>
      <c r="F840" s="142"/>
      <c r="G840" s="142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42"/>
      <c r="B841" s="142"/>
      <c r="C841" s="142"/>
      <c r="D841" s="142"/>
      <c r="E841" s="142"/>
      <c r="F841" s="142"/>
      <c r="G841" s="142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42"/>
      <c r="B842" s="142"/>
      <c r="C842" s="142"/>
      <c r="D842" s="142"/>
      <c r="E842" s="142"/>
      <c r="F842" s="142"/>
      <c r="G842" s="142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42"/>
      <c r="B843" s="142"/>
      <c r="C843" s="142"/>
      <c r="D843" s="142"/>
      <c r="E843" s="142"/>
      <c r="F843" s="142"/>
      <c r="G843" s="142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42"/>
      <c r="B844" s="142"/>
      <c r="C844" s="142"/>
      <c r="D844" s="142"/>
      <c r="E844" s="142"/>
      <c r="F844" s="142"/>
      <c r="G844" s="142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42"/>
      <c r="B845" s="142"/>
      <c r="C845" s="142"/>
      <c r="D845" s="142"/>
      <c r="E845" s="142"/>
      <c r="F845" s="142"/>
      <c r="G845" s="142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42"/>
      <c r="B846" s="142"/>
      <c r="C846" s="142"/>
      <c r="D846" s="142"/>
      <c r="E846" s="142"/>
      <c r="F846" s="142"/>
      <c r="G846" s="142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42"/>
      <c r="B847" s="142"/>
      <c r="C847" s="142"/>
      <c r="D847" s="142"/>
      <c r="E847" s="142"/>
      <c r="F847" s="142"/>
      <c r="G847" s="142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42"/>
      <c r="B848" s="142"/>
      <c r="C848" s="142"/>
      <c r="D848" s="142"/>
      <c r="E848" s="142"/>
      <c r="F848" s="142"/>
      <c r="G848" s="142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42"/>
      <c r="B849" s="142"/>
      <c r="C849" s="142"/>
      <c r="D849" s="142"/>
      <c r="E849" s="142"/>
      <c r="F849" s="142"/>
      <c r="G849" s="142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42"/>
      <c r="B850" s="142"/>
      <c r="C850" s="142"/>
      <c r="D850" s="142"/>
      <c r="E850" s="142"/>
      <c r="F850" s="142"/>
      <c r="G850" s="142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42"/>
      <c r="B851" s="142"/>
      <c r="C851" s="142"/>
      <c r="D851" s="142"/>
      <c r="E851" s="142"/>
      <c r="F851" s="142"/>
      <c r="G851" s="142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42"/>
      <c r="B852" s="142"/>
      <c r="C852" s="142"/>
      <c r="D852" s="142"/>
      <c r="E852" s="142"/>
      <c r="F852" s="142"/>
      <c r="G852" s="142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42"/>
      <c r="B853" s="142"/>
      <c r="C853" s="142"/>
      <c r="D853" s="142"/>
      <c r="E853" s="142"/>
      <c r="F853" s="142"/>
      <c r="G853" s="142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42"/>
      <c r="B854" s="142"/>
      <c r="C854" s="142"/>
      <c r="D854" s="142"/>
      <c r="E854" s="142"/>
      <c r="F854" s="142"/>
      <c r="G854" s="142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42"/>
      <c r="B855" s="142"/>
      <c r="C855" s="142"/>
      <c r="D855" s="142"/>
      <c r="E855" s="142"/>
      <c r="F855" s="142"/>
      <c r="G855" s="142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42"/>
      <c r="B856" s="142"/>
      <c r="C856" s="142"/>
      <c r="D856" s="142"/>
      <c r="E856" s="142"/>
      <c r="F856" s="142"/>
      <c r="G856" s="142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42"/>
      <c r="B857" s="142"/>
      <c r="C857" s="142"/>
      <c r="D857" s="142"/>
      <c r="E857" s="142"/>
      <c r="F857" s="142"/>
      <c r="G857" s="142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42"/>
      <c r="B858" s="142"/>
      <c r="C858" s="142"/>
      <c r="D858" s="142"/>
      <c r="E858" s="142"/>
      <c r="F858" s="142"/>
      <c r="G858" s="142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42"/>
      <c r="B859" s="142"/>
      <c r="C859" s="142"/>
      <c r="D859" s="142"/>
      <c r="E859" s="142"/>
      <c r="F859" s="142"/>
      <c r="G859" s="142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42"/>
      <c r="B860" s="142"/>
      <c r="C860" s="142"/>
      <c r="D860" s="142"/>
      <c r="E860" s="142"/>
      <c r="F860" s="142"/>
      <c r="G860" s="142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42"/>
      <c r="B861" s="142"/>
      <c r="C861" s="142"/>
      <c r="D861" s="142"/>
      <c r="E861" s="142"/>
      <c r="F861" s="142"/>
      <c r="G861" s="142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42"/>
      <c r="B862" s="142"/>
      <c r="C862" s="142"/>
      <c r="D862" s="142"/>
      <c r="E862" s="142"/>
      <c r="F862" s="142"/>
      <c r="G862" s="142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42"/>
      <c r="B863" s="142"/>
      <c r="C863" s="142"/>
      <c r="D863" s="142"/>
      <c r="E863" s="142"/>
      <c r="F863" s="142"/>
      <c r="G863" s="142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42"/>
      <c r="B864" s="142"/>
      <c r="C864" s="142"/>
      <c r="D864" s="142"/>
      <c r="E864" s="142"/>
      <c r="F864" s="142"/>
      <c r="G864" s="142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42"/>
      <c r="B865" s="142"/>
      <c r="C865" s="142"/>
      <c r="D865" s="142"/>
      <c r="E865" s="142"/>
      <c r="F865" s="142"/>
      <c r="G865" s="142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42"/>
      <c r="B866" s="142"/>
      <c r="C866" s="142"/>
      <c r="D866" s="142"/>
      <c r="E866" s="142"/>
      <c r="F866" s="142"/>
      <c r="G866" s="142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42"/>
      <c r="B867" s="142"/>
      <c r="C867" s="142"/>
      <c r="D867" s="142"/>
      <c r="E867" s="142"/>
      <c r="F867" s="142"/>
      <c r="G867" s="142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42"/>
      <c r="B868" s="142"/>
      <c r="C868" s="142"/>
      <c r="D868" s="142"/>
      <c r="E868" s="142"/>
      <c r="F868" s="142"/>
      <c r="G868" s="142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42"/>
      <c r="B869" s="142"/>
      <c r="C869" s="142"/>
      <c r="D869" s="142"/>
      <c r="E869" s="142"/>
      <c r="F869" s="142"/>
      <c r="G869" s="142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42"/>
      <c r="B870" s="142"/>
      <c r="C870" s="142"/>
      <c r="D870" s="142"/>
      <c r="E870" s="142"/>
      <c r="F870" s="142"/>
      <c r="G870" s="142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42"/>
      <c r="B871" s="142"/>
      <c r="C871" s="142"/>
      <c r="D871" s="142"/>
      <c r="E871" s="142"/>
      <c r="F871" s="142"/>
      <c r="G871" s="142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42"/>
      <c r="B872" s="142"/>
      <c r="C872" s="142"/>
      <c r="D872" s="142"/>
      <c r="E872" s="142"/>
      <c r="F872" s="142"/>
      <c r="G872" s="142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42"/>
      <c r="B873" s="142"/>
      <c r="C873" s="142"/>
      <c r="D873" s="142"/>
      <c r="E873" s="142"/>
      <c r="F873" s="142"/>
      <c r="G873" s="142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42"/>
      <c r="B874" s="142"/>
      <c r="C874" s="142"/>
      <c r="D874" s="142"/>
      <c r="E874" s="142"/>
      <c r="F874" s="142"/>
      <c r="G874" s="142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42"/>
      <c r="B875" s="142"/>
      <c r="C875" s="142"/>
      <c r="D875" s="142"/>
      <c r="E875" s="142"/>
      <c r="F875" s="142"/>
      <c r="G875" s="142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42"/>
      <c r="B876" s="142"/>
      <c r="C876" s="142"/>
      <c r="D876" s="142"/>
      <c r="E876" s="142"/>
      <c r="F876" s="142"/>
      <c r="G876" s="142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42"/>
      <c r="B877" s="142"/>
      <c r="C877" s="142"/>
      <c r="D877" s="142"/>
      <c r="E877" s="142"/>
      <c r="F877" s="142"/>
      <c r="G877" s="142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42"/>
      <c r="B878" s="142"/>
      <c r="C878" s="142"/>
      <c r="D878" s="142"/>
      <c r="E878" s="142"/>
      <c r="F878" s="142"/>
      <c r="G878" s="142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42"/>
      <c r="B879" s="142"/>
      <c r="C879" s="142"/>
      <c r="D879" s="142"/>
      <c r="E879" s="142"/>
      <c r="F879" s="142"/>
      <c r="G879" s="142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42"/>
      <c r="B880" s="142"/>
      <c r="C880" s="142"/>
      <c r="D880" s="142"/>
      <c r="E880" s="142"/>
      <c r="F880" s="142"/>
      <c r="G880" s="142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42"/>
      <c r="B881" s="142"/>
      <c r="C881" s="142"/>
      <c r="D881" s="142"/>
      <c r="E881" s="142"/>
      <c r="F881" s="142"/>
      <c r="G881" s="142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42"/>
      <c r="B882" s="142"/>
      <c r="C882" s="142"/>
      <c r="D882" s="142"/>
      <c r="E882" s="142"/>
      <c r="F882" s="142"/>
      <c r="G882" s="142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42"/>
      <c r="B883" s="142"/>
      <c r="C883" s="142"/>
      <c r="D883" s="142"/>
      <c r="E883" s="142"/>
      <c r="F883" s="142"/>
      <c r="G883" s="142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42"/>
      <c r="B884" s="142"/>
      <c r="C884" s="142"/>
      <c r="D884" s="142"/>
      <c r="E884" s="142"/>
      <c r="F884" s="142"/>
      <c r="G884" s="142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42"/>
      <c r="B885" s="142"/>
      <c r="C885" s="142"/>
      <c r="D885" s="142"/>
      <c r="E885" s="142"/>
      <c r="F885" s="142"/>
      <c r="G885" s="142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42"/>
      <c r="B886" s="142"/>
      <c r="C886" s="142"/>
      <c r="D886" s="142"/>
      <c r="E886" s="142"/>
      <c r="F886" s="142"/>
      <c r="G886" s="142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42"/>
      <c r="B887" s="142"/>
      <c r="C887" s="142"/>
      <c r="D887" s="142"/>
      <c r="E887" s="142"/>
      <c r="F887" s="142"/>
      <c r="G887" s="142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42"/>
      <c r="B888" s="142"/>
      <c r="C888" s="142"/>
      <c r="D888" s="142"/>
      <c r="E888" s="142"/>
      <c r="F888" s="142"/>
      <c r="G888" s="142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42"/>
      <c r="B889" s="142"/>
      <c r="C889" s="142"/>
      <c r="D889" s="142"/>
      <c r="E889" s="142"/>
      <c r="F889" s="142"/>
      <c r="G889" s="142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42"/>
      <c r="B890" s="142"/>
      <c r="C890" s="142"/>
      <c r="D890" s="142"/>
      <c r="E890" s="142"/>
      <c r="F890" s="142"/>
      <c r="G890" s="142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42"/>
      <c r="B891" s="142"/>
      <c r="C891" s="142"/>
      <c r="D891" s="142"/>
      <c r="E891" s="142"/>
      <c r="F891" s="142"/>
      <c r="G891" s="142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42"/>
      <c r="B892" s="142"/>
      <c r="C892" s="142"/>
      <c r="D892" s="142"/>
      <c r="E892" s="142"/>
      <c r="F892" s="142"/>
      <c r="G892" s="142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42"/>
      <c r="B893" s="142"/>
      <c r="C893" s="142"/>
      <c r="D893" s="142"/>
      <c r="E893" s="142"/>
      <c r="F893" s="142"/>
      <c r="G893" s="142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42"/>
      <c r="B894" s="142"/>
      <c r="C894" s="142"/>
      <c r="D894" s="142"/>
      <c r="E894" s="142"/>
      <c r="F894" s="142"/>
      <c r="G894" s="142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42"/>
      <c r="B895" s="142"/>
      <c r="C895" s="142"/>
      <c r="D895" s="142"/>
      <c r="E895" s="142"/>
      <c r="F895" s="142"/>
      <c r="G895" s="142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42"/>
      <c r="B896" s="142"/>
      <c r="C896" s="142"/>
      <c r="D896" s="142"/>
      <c r="E896" s="142"/>
      <c r="F896" s="142"/>
      <c r="G896" s="142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42"/>
      <c r="B897" s="142"/>
      <c r="C897" s="142"/>
      <c r="D897" s="142"/>
      <c r="E897" s="142"/>
      <c r="F897" s="142"/>
      <c r="G897" s="142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42"/>
      <c r="B898" s="142"/>
      <c r="C898" s="142"/>
      <c r="D898" s="142"/>
      <c r="E898" s="142"/>
      <c r="F898" s="142"/>
      <c r="G898" s="142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42"/>
      <c r="B899" s="142"/>
      <c r="C899" s="142"/>
      <c r="D899" s="142"/>
      <c r="E899" s="142"/>
      <c r="F899" s="142"/>
      <c r="G899" s="142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42"/>
      <c r="B900" s="142"/>
      <c r="C900" s="142"/>
      <c r="D900" s="142"/>
      <c r="E900" s="142"/>
      <c r="F900" s="142"/>
      <c r="G900" s="142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42"/>
      <c r="B901" s="142"/>
      <c r="C901" s="142"/>
      <c r="D901" s="142"/>
      <c r="E901" s="142"/>
      <c r="F901" s="142"/>
      <c r="G901" s="142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42"/>
      <c r="B902" s="142"/>
      <c r="C902" s="142"/>
      <c r="D902" s="142"/>
      <c r="E902" s="142"/>
      <c r="F902" s="142"/>
      <c r="G902" s="142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42"/>
      <c r="B903" s="142"/>
      <c r="C903" s="142"/>
      <c r="D903" s="142"/>
      <c r="E903" s="142"/>
      <c r="F903" s="142"/>
      <c r="G903" s="142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42"/>
      <c r="B904" s="142"/>
      <c r="C904" s="142"/>
      <c r="D904" s="142"/>
      <c r="E904" s="142"/>
      <c r="F904" s="142"/>
      <c r="G904" s="142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42"/>
      <c r="B905" s="142"/>
      <c r="C905" s="142"/>
      <c r="D905" s="142"/>
      <c r="E905" s="142"/>
      <c r="F905" s="142"/>
      <c r="G905" s="142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42"/>
      <c r="B906" s="142"/>
      <c r="C906" s="142"/>
      <c r="D906" s="142"/>
      <c r="E906" s="142"/>
      <c r="F906" s="142"/>
      <c r="G906" s="142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42"/>
      <c r="B907" s="142"/>
      <c r="C907" s="142"/>
      <c r="D907" s="142"/>
      <c r="E907" s="142"/>
      <c r="F907" s="142"/>
      <c r="G907" s="142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42"/>
      <c r="B908" s="142"/>
      <c r="C908" s="142"/>
      <c r="D908" s="142"/>
      <c r="E908" s="142"/>
      <c r="F908" s="142"/>
      <c r="G908" s="142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42"/>
      <c r="B909" s="142"/>
      <c r="C909" s="142"/>
      <c r="D909" s="142"/>
      <c r="E909" s="142"/>
      <c r="F909" s="142"/>
      <c r="G909" s="142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42"/>
      <c r="B910" s="142"/>
      <c r="C910" s="142"/>
      <c r="D910" s="142"/>
      <c r="E910" s="142"/>
      <c r="F910" s="142"/>
      <c r="G910" s="142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42"/>
      <c r="B911" s="142"/>
      <c r="C911" s="142"/>
      <c r="D911" s="142"/>
      <c r="E911" s="142"/>
      <c r="F911" s="142"/>
      <c r="G911" s="142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42"/>
      <c r="B912" s="142"/>
      <c r="C912" s="142"/>
      <c r="D912" s="142"/>
      <c r="E912" s="142"/>
      <c r="F912" s="142"/>
      <c r="G912" s="142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42"/>
      <c r="B913" s="142"/>
      <c r="C913" s="142"/>
      <c r="D913" s="142"/>
      <c r="E913" s="142"/>
      <c r="F913" s="142"/>
      <c r="G913" s="142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42"/>
      <c r="B914" s="142"/>
      <c r="C914" s="142"/>
      <c r="D914" s="142"/>
      <c r="E914" s="142"/>
      <c r="F914" s="142"/>
      <c r="G914" s="142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42"/>
      <c r="B915" s="142"/>
      <c r="C915" s="142"/>
      <c r="D915" s="142"/>
      <c r="E915" s="142"/>
      <c r="F915" s="142"/>
      <c r="G915" s="142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42"/>
      <c r="B916" s="142"/>
      <c r="C916" s="142"/>
      <c r="D916" s="142"/>
      <c r="E916" s="142"/>
      <c r="F916" s="142"/>
      <c r="G916" s="142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42"/>
      <c r="B917" s="142"/>
      <c r="C917" s="142"/>
      <c r="D917" s="142"/>
      <c r="E917" s="142"/>
      <c r="F917" s="142"/>
      <c r="G917" s="142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42"/>
      <c r="B918" s="142"/>
      <c r="C918" s="142"/>
      <c r="D918" s="142"/>
      <c r="E918" s="142"/>
      <c r="F918" s="142"/>
      <c r="G918" s="142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42"/>
      <c r="B919" s="142"/>
      <c r="C919" s="142"/>
      <c r="D919" s="142"/>
      <c r="E919" s="142"/>
      <c r="F919" s="142"/>
      <c r="G919" s="142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42"/>
      <c r="B920" s="142"/>
      <c r="C920" s="142"/>
      <c r="D920" s="142"/>
      <c r="E920" s="142"/>
      <c r="F920" s="142"/>
      <c r="G920" s="142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42"/>
      <c r="B921" s="142"/>
      <c r="C921" s="142"/>
      <c r="D921" s="142"/>
      <c r="E921" s="142"/>
      <c r="F921" s="142"/>
      <c r="G921" s="142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42"/>
      <c r="B922" s="142"/>
      <c r="C922" s="142"/>
      <c r="D922" s="142"/>
      <c r="E922" s="142"/>
      <c r="F922" s="142"/>
      <c r="G922" s="142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42"/>
      <c r="B923" s="142"/>
      <c r="C923" s="142"/>
      <c r="D923" s="142"/>
      <c r="E923" s="142"/>
      <c r="F923" s="142"/>
      <c r="G923" s="142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42"/>
      <c r="B924" s="142"/>
      <c r="C924" s="142"/>
      <c r="D924" s="142"/>
      <c r="E924" s="142"/>
      <c r="F924" s="142"/>
      <c r="G924" s="142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42"/>
      <c r="B925" s="142"/>
      <c r="C925" s="142"/>
      <c r="D925" s="142"/>
      <c r="E925" s="142"/>
      <c r="F925" s="142"/>
      <c r="G925" s="142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42"/>
      <c r="B926" s="142"/>
      <c r="C926" s="142"/>
      <c r="D926" s="142"/>
      <c r="E926" s="142"/>
      <c r="F926" s="142"/>
      <c r="G926" s="142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42"/>
      <c r="B927" s="142"/>
      <c r="C927" s="142"/>
      <c r="D927" s="142"/>
      <c r="E927" s="142"/>
      <c r="F927" s="142"/>
      <c r="G927" s="142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42"/>
      <c r="B928" s="142"/>
      <c r="C928" s="142"/>
      <c r="D928" s="142"/>
      <c r="E928" s="142"/>
      <c r="F928" s="142"/>
      <c r="G928" s="142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42"/>
      <c r="B929" s="142"/>
      <c r="C929" s="142"/>
      <c r="D929" s="142"/>
      <c r="E929" s="142"/>
      <c r="F929" s="142"/>
      <c r="G929" s="142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42"/>
      <c r="B930" s="142"/>
      <c r="C930" s="142"/>
      <c r="D930" s="142"/>
      <c r="E930" s="142"/>
      <c r="F930" s="142"/>
      <c r="G930" s="142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42"/>
      <c r="B931" s="142"/>
      <c r="C931" s="142"/>
      <c r="D931" s="142"/>
      <c r="E931" s="142"/>
      <c r="F931" s="142"/>
      <c r="G931" s="142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42"/>
      <c r="B932" s="142"/>
      <c r="C932" s="142"/>
      <c r="D932" s="142"/>
      <c r="E932" s="142"/>
      <c r="F932" s="142"/>
      <c r="G932" s="142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42"/>
      <c r="B933" s="142"/>
      <c r="C933" s="142"/>
      <c r="D933" s="142"/>
      <c r="E933" s="142"/>
      <c r="F933" s="142"/>
      <c r="G933" s="142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42"/>
      <c r="B934" s="142"/>
      <c r="C934" s="142"/>
      <c r="D934" s="142"/>
      <c r="E934" s="142"/>
      <c r="F934" s="142"/>
      <c r="G934" s="142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42"/>
      <c r="B935" s="142"/>
      <c r="C935" s="142"/>
      <c r="D935" s="142"/>
      <c r="E935" s="142"/>
      <c r="F935" s="142"/>
      <c r="G935" s="142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42"/>
      <c r="B936" s="142"/>
      <c r="C936" s="142"/>
      <c r="D936" s="142"/>
      <c r="E936" s="142"/>
      <c r="F936" s="142"/>
      <c r="G936" s="142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42"/>
      <c r="B937" s="142"/>
      <c r="C937" s="142"/>
      <c r="D937" s="142"/>
      <c r="E937" s="142"/>
      <c r="F937" s="142"/>
      <c r="G937" s="142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42"/>
      <c r="B938" s="142"/>
      <c r="C938" s="142"/>
      <c r="D938" s="142"/>
      <c r="E938" s="142"/>
      <c r="F938" s="142"/>
      <c r="G938" s="142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42"/>
      <c r="B939" s="142"/>
      <c r="C939" s="142"/>
      <c r="D939" s="142"/>
      <c r="E939" s="142"/>
      <c r="F939" s="142"/>
      <c r="G939" s="142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42"/>
      <c r="B940" s="142"/>
      <c r="C940" s="142"/>
      <c r="D940" s="142"/>
      <c r="E940" s="142"/>
      <c r="F940" s="142"/>
      <c r="G940" s="142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42"/>
      <c r="B941" s="142"/>
      <c r="C941" s="142"/>
      <c r="D941" s="142"/>
      <c r="E941" s="142"/>
      <c r="F941" s="142"/>
      <c r="G941" s="142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42"/>
      <c r="B942" s="142"/>
      <c r="C942" s="142"/>
      <c r="D942" s="142"/>
      <c r="E942" s="142"/>
      <c r="F942" s="142"/>
      <c r="G942" s="142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42"/>
      <c r="B943" s="142"/>
      <c r="C943" s="142"/>
      <c r="D943" s="142"/>
      <c r="E943" s="142"/>
      <c r="F943" s="142"/>
      <c r="G943" s="142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42"/>
      <c r="B944" s="142"/>
      <c r="C944" s="142"/>
      <c r="D944" s="142"/>
      <c r="E944" s="142"/>
      <c r="F944" s="142"/>
      <c r="G944" s="142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42"/>
      <c r="B945" s="142"/>
      <c r="C945" s="142"/>
      <c r="D945" s="142"/>
      <c r="E945" s="142"/>
      <c r="F945" s="142"/>
      <c r="G945" s="142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42"/>
      <c r="B946" s="142"/>
      <c r="C946" s="142"/>
      <c r="D946" s="142"/>
      <c r="E946" s="142"/>
      <c r="F946" s="142"/>
      <c r="G946" s="142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42"/>
      <c r="B947" s="142"/>
      <c r="C947" s="142"/>
      <c r="D947" s="142"/>
      <c r="E947" s="142"/>
      <c r="F947" s="142"/>
      <c r="G947" s="142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42"/>
      <c r="B948" s="142"/>
      <c r="C948" s="142"/>
      <c r="D948" s="142"/>
      <c r="E948" s="142"/>
      <c r="F948" s="142"/>
      <c r="G948" s="142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42"/>
      <c r="B949" s="142"/>
      <c r="C949" s="142"/>
      <c r="D949" s="142"/>
      <c r="E949" s="142"/>
      <c r="F949" s="142"/>
      <c r="G949" s="142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42"/>
      <c r="B950" s="142"/>
      <c r="C950" s="142"/>
      <c r="D950" s="142"/>
      <c r="E950" s="142"/>
      <c r="F950" s="142"/>
      <c r="G950" s="142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42"/>
      <c r="B951" s="142"/>
      <c r="C951" s="142"/>
      <c r="D951" s="142"/>
      <c r="E951" s="142"/>
      <c r="F951" s="142"/>
      <c r="G951" s="142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42"/>
      <c r="B952" s="142"/>
      <c r="C952" s="142"/>
      <c r="D952" s="142"/>
      <c r="E952" s="142"/>
      <c r="F952" s="142"/>
      <c r="G952" s="142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42"/>
      <c r="B953" s="142"/>
      <c r="C953" s="142"/>
      <c r="D953" s="142"/>
      <c r="E953" s="142"/>
      <c r="F953" s="142"/>
      <c r="G953" s="142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42"/>
      <c r="B954" s="142"/>
      <c r="C954" s="142"/>
      <c r="D954" s="142"/>
      <c r="E954" s="142"/>
      <c r="F954" s="142"/>
      <c r="G954" s="142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42"/>
      <c r="B955" s="142"/>
      <c r="C955" s="142"/>
      <c r="D955" s="142"/>
      <c r="E955" s="142"/>
      <c r="F955" s="142"/>
      <c r="G955" s="142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42"/>
      <c r="B956" s="142"/>
      <c r="C956" s="142"/>
      <c r="D956" s="142"/>
      <c r="E956" s="142"/>
      <c r="F956" s="142"/>
      <c r="G956" s="142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42"/>
      <c r="B957" s="142"/>
      <c r="C957" s="142"/>
      <c r="D957" s="142"/>
      <c r="E957" s="142"/>
      <c r="F957" s="142"/>
      <c r="G957" s="142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42"/>
      <c r="B958" s="142"/>
      <c r="C958" s="142"/>
      <c r="D958" s="142"/>
      <c r="E958" s="142"/>
      <c r="F958" s="142"/>
      <c r="G958" s="142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42"/>
      <c r="B959" s="142"/>
      <c r="C959" s="142"/>
      <c r="D959" s="142"/>
      <c r="E959" s="142"/>
      <c r="F959" s="142"/>
      <c r="G959" s="142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42"/>
      <c r="B960" s="142"/>
      <c r="C960" s="142"/>
      <c r="D960" s="142"/>
      <c r="E960" s="142"/>
      <c r="F960" s="142"/>
      <c r="G960" s="142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42"/>
      <c r="B961" s="142"/>
      <c r="C961" s="142"/>
      <c r="D961" s="142"/>
      <c r="E961" s="142"/>
      <c r="F961" s="142"/>
      <c r="G961" s="142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42"/>
      <c r="B962" s="142"/>
      <c r="C962" s="142"/>
      <c r="D962" s="142"/>
      <c r="E962" s="142"/>
      <c r="F962" s="142"/>
      <c r="G962" s="142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42"/>
      <c r="B963" s="142"/>
      <c r="C963" s="142"/>
      <c r="D963" s="142"/>
      <c r="E963" s="142"/>
      <c r="F963" s="142"/>
      <c r="G963" s="142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42"/>
      <c r="B964" s="142"/>
      <c r="C964" s="142"/>
      <c r="D964" s="142"/>
      <c r="E964" s="142"/>
      <c r="F964" s="142"/>
      <c r="G964" s="142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42"/>
      <c r="B965" s="142"/>
      <c r="C965" s="142"/>
      <c r="D965" s="142"/>
      <c r="E965" s="142"/>
      <c r="F965" s="142"/>
      <c r="G965" s="142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42"/>
      <c r="B966" s="142"/>
      <c r="C966" s="142"/>
      <c r="D966" s="142"/>
      <c r="E966" s="142"/>
      <c r="F966" s="142"/>
      <c r="G966" s="142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42"/>
      <c r="B967" s="142"/>
      <c r="C967" s="142"/>
      <c r="D967" s="142"/>
      <c r="E967" s="142"/>
      <c r="F967" s="142"/>
      <c r="G967" s="142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42"/>
      <c r="B968" s="142"/>
      <c r="C968" s="142"/>
      <c r="D968" s="142"/>
      <c r="E968" s="142"/>
      <c r="F968" s="142"/>
      <c r="G968" s="142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42"/>
      <c r="B969" s="142"/>
      <c r="C969" s="142"/>
      <c r="D969" s="142"/>
      <c r="E969" s="142"/>
      <c r="F969" s="142"/>
      <c r="G969" s="142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42"/>
      <c r="B970" s="142"/>
      <c r="C970" s="142"/>
      <c r="D970" s="142"/>
      <c r="E970" s="142"/>
      <c r="F970" s="142"/>
      <c r="G970" s="142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42"/>
      <c r="B971" s="142"/>
      <c r="C971" s="142"/>
      <c r="D971" s="142"/>
      <c r="E971" s="142"/>
      <c r="F971" s="142"/>
      <c r="G971" s="142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42"/>
      <c r="B972" s="142"/>
      <c r="C972" s="142"/>
      <c r="D972" s="142"/>
      <c r="E972" s="142"/>
      <c r="F972" s="142"/>
      <c r="G972" s="142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42"/>
      <c r="B973" s="142"/>
      <c r="C973" s="142"/>
      <c r="D973" s="142"/>
      <c r="E973" s="142"/>
      <c r="F973" s="142"/>
      <c r="G973" s="142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42"/>
      <c r="B974" s="142"/>
      <c r="C974" s="142"/>
      <c r="D974" s="142"/>
      <c r="E974" s="142"/>
      <c r="F974" s="142"/>
      <c r="G974" s="142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42"/>
      <c r="B975" s="142"/>
      <c r="C975" s="142"/>
      <c r="D975" s="142"/>
      <c r="E975" s="142"/>
      <c r="F975" s="142"/>
      <c r="G975" s="142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42"/>
      <c r="B976" s="142"/>
      <c r="C976" s="142"/>
      <c r="D976" s="142"/>
      <c r="E976" s="142"/>
      <c r="F976" s="142"/>
      <c r="G976" s="142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42"/>
      <c r="B977" s="142"/>
      <c r="C977" s="142"/>
      <c r="D977" s="142"/>
      <c r="E977" s="142"/>
      <c r="F977" s="142"/>
      <c r="G977" s="142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42"/>
      <c r="B978" s="142"/>
      <c r="C978" s="142"/>
      <c r="D978" s="142"/>
      <c r="E978" s="142"/>
      <c r="F978" s="142"/>
      <c r="G978" s="142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42"/>
      <c r="B979" s="142"/>
      <c r="C979" s="142"/>
      <c r="D979" s="142"/>
      <c r="E979" s="142"/>
      <c r="F979" s="142"/>
      <c r="G979" s="142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42"/>
      <c r="B980" s="142"/>
      <c r="C980" s="142"/>
      <c r="D980" s="142"/>
      <c r="E980" s="142"/>
      <c r="F980" s="142"/>
      <c r="G980" s="142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42"/>
      <c r="B981" s="142"/>
      <c r="C981" s="142"/>
      <c r="D981" s="142"/>
      <c r="E981" s="142"/>
      <c r="F981" s="142"/>
      <c r="G981" s="142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42"/>
      <c r="B982" s="142"/>
      <c r="C982" s="142"/>
      <c r="D982" s="142"/>
      <c r="E982" s="142"/>
      <c r="F982" s="142"/>
      <c r="G982" s="142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42"/>
      <c r="B983" s="142"/>
      <c r="C983" s="142"/>
      <c r="D983" s="142"/>
      <c r="E983" s="142"/>
      <c r="F983" s="142"/>
      <c r="G983" s="142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42"/>
      <c r="B984" s="142"/>
      <c r="C984" s="142"/>
      <c r="D984" s="142"/>
      <c r="E984" s="142"/>
      <c r="F984" s="142"/>
      <c r="G984" s="142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42"/>
      <c r="B985" s="142"/>
      <c r="C985" s="142"/>
      <c r="D985" s="142"/>
      <c r="E985" s="142"/>
      <c r="F985" s="142"/>
      <c r="G985" s="142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42"/>
      <c r="B986" s="142"/>
      <c r="C986" s="142"/>
      <c r="D986" s="142"/>
      <c r="E986" s="142"/>
      <c r="F986" s="142"/>
      <c r="G986" s="142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42"/>
      <c r="B987" s="142"/>
      <c r="C987" s="142"/>
      <c r="D987" s="142"/>
      <c r="E987" s="142"/>
      <c r="F987" s="142"/>
      <c r="G987" s="142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42"/>
      <c r="B988" s="142"/>
      <c r="C988" s="142"/>
      <c r="D988" s="142"/>
      <c r="E988" s="142"/>
      <c r="F988" s="142"/>
      <c r="G988" s="142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42"/>
      <c r="B989" s="142"/>
      <c r="C989" s="142"/>
      <c r="D989" s="142"/>
      <c r="E989" s="142"/>
      <c r="F989" s="142"/>
      <c r="G989" s="142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42"/>
      <c r="B990" s="142"/>
      <c r="C990" s="142"/>
      <c r="D990" s="142"/>
      <c r="E990" s="142"/>
      <c r="F990" s="142"/>
      <c r="G990" s="142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42"/>
      <c r="B991" s="142"/>
      <c r="C991" s="142"/>
      <c r="D991" s="142"/>
      <c r="E991" s="142"/>
      <c r="F991" s="142"/>
      <c r="G991" s="142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42"/>
      <c r="B992" s="142"/>
      <c r="C992" s="142"/>
      <c r="D992" s="142"/>
      <c r="E992" s="142"/>
      <c r="F992" s="142"/>
      <c r="G992" s="142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42"/>
      <c r="B993" s="142"/>
      <c r="C993" s="142"/>
      <c r="D993" s="142"/>
      <c r="E993" s="142"/>
      <c r="F993" s="142"/>
      <c r="G993" s="142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42"/>
      <c r="B994" s="142"/>
      <c r="C994" s="142"/>
      <c r="D994" s="142"/>
      <c r="E994" s="142"/>
      <c r="F994" s="142"/>
      <c r="G994" s="142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</sheetData>
  <autoFilter ref="$A$1:$G$188"/>
  <hyperlinks>
    <hyperlink r:id="rId1" location="/login" ref="E2"/>
    <hyperlink r:id="rId2" ref="E3"/>
    <hyperlink r:id="rId3" ref="E5"/>
    <hyperlink r:id="rId4" ref="E6"/>
    <hyperlink r:id="rId5" ref="E7"/>
    <hyperlink r:id="rId6" ref="E8"/>
    <hyperlink r:id="rId7" ref="E10"/>
    <hyperlink r:id="rId8" ref="E11"/>
    <hyperlink r:id="rId9" location="/login" ref="E12"/>
    <hyperlink r:id="rId10" ref="E13"/>
    <hyperlink r:id="rId11" location="/login" ref="E15"/>
    <hyperlink r:id="rId12" ref="E16"/>
    <hyperlink r:id="rId13" ref="E17"/>
    <hyperlink r:id="rId14" ref="E18"/>
    <hyperlink r:id="rId15" location="/login" ref="E19"/>
    <hyperlink r:id="rId16" ref="E20"/>
    <hyperlink r:id="rId17" ref="E21"/>
    <hyperlink r:id="rId18" location="/login" ref="E22"/>
    <hyperlink r:id="rId19" ref="E25"/>
    <hyperlink r:id="rId20" ref="E26"/>
    <hyperlink r:id="rId21" ref="E27"/>
    <hyperlink r:id="rId22" ref="E28"/>
    <hyperlink r:id="rId23" ref="E30"/>
    <hyperlink r:id="rId24" ref="E31"/>
    <hyperlink r:id="rId25" ref="E32"/>
    <hyperlink r:id="rId26" ref="E33"/>
    <hyperlink r:id="rId27" location="/login" ref="E35"/>
    <hyperlink r:id="rId28" ref="C36"/>
    <hyperlink r:id="rId29" ref="E37"/>
    <hyperlink r:id="rId30" ref="E39"/>
    <hyperlink r:id="rId31" ref="E42"/>
    <hyperlink r:id="rId32" ref="E44"/>
    <hyperlink r:id="rId33" ref="E45"/>
    <hyperlink r:id="rId34" ref="E47"/>
    <hyperlink r:id="rId35" ref="E50"/>
    <hyperlink r:id="rId36" ref="E51"/>
    <hyperlink r:id="rId37" location="/login/index" ref="E52"/>
    <hyperlink r:id="rId38" ref="E53"/>
    <hyperlink r:id="rId39" ref="E54"/>
    <hyperlink r:id="rId40" ref="E55"/>
    <hyperlink r:id="rId41" location="/login/index" ref="E56"/>
    <hyperlink r:id="rId42" location="/login/index" ref="E57"/>
    <hyperlink r:id="rId43" location="/login/index" ref="E58"/>
    <hyperlink r:id="rId44" ref="E59"/>
    <hyperlink r:id="rId45" ref="E60"/>
    <hyperlink r:id="rId46" ref="E61"/>
    <hyperlink r:id="rId47" ref="E62"/>
    <hyperlink r:id="rId48" ref="E63"/>
    <hyperlink r:id="rId49" ref="E64"/>
    <hyperlink r:id="rId50" ref="E65"/>
    <hyperlink r:id="rId51" ref="E66"/>
    <hyperlink r:id="rId52" ref="E67"/>
    <hyperlink r:id="rId53" ref="E68"/>
    <hyperlink r:id="rId54" ref="E69"/>
    <hyperlink r:id="rId55" ref="E70"/>
    <hyperlink r:id="rId56" ref="E71"/>
    <hyperlink r:id="rId57" ref="E72"/>
    <hyperlink r:id="rId58" ref="E73"/>
    <hyperlink r:id="rId59" ref="E74"/>
    <hyperlink r:id="rId60" ref="E75"/>
    <hyperlink r:id="rId61" ref="E76"/>
    <hyperlink r:id="rId62" ref="E77"/>
    <hyperlink r:id="rId63" ref="E78"/>
    <hyperlink r:id="rId64" ref="E79"/>
    <hyperlink r:id="rId65" ref="E80"/>
    <hyperlink r:id="rId66" ref="E81"/>
    <hyperlink r:id="rId67" ref="E82"/>
    <hyperlink r:id="rId68" ref="E83"/>
    <hyperlink r:id="rId69" ref="E84"/>
    <hyperlink r:id="rId70" ref="E85"/>
    <hyperlink r:id="rId71" ref="E86"/>
    <hyperlink r:id="rId72" ref="E87"/>
    <hyperlink r:id="rId73" ref="E88"/>
    <hyperlink r:id="rId74" ref="E89"/>
    <hyperlink r:id="rId75" ref="E90"/>
    <hyperlink r:id="rId76" ref="E91"/>
    <hyperlink r:id="rId77" ref="E92"/>
    <hyperlink r:id="rId78" ref="E93"/>
    <hyperlink r:id="rId79" ref="E94"/>
    <hyperlink r:id="rId80" ref="E95"/>
    <hyperlink r:id="rId81" ref="E96"/>
    <hyperlink r:id="rId82" ref="E97"/>
    <hyperlink r:id="rId83" ref="E98"/>
    <hyperlink r:id="rId84" ref="E99"/>
    <hyperlink r:id="rId85" ref="E100"/>
    <hyperlink r:id="rId86" ref="E101"/>
    <hyperlink r:id="rId87" ref="E102"/>
    <hyperlink r:id="rId88" ref="E103"/>
    <hyperlink r:id="rId89" ref="E104"/>
    <hyperlink r:id="rId90" ref="E105"/>
    <hyperlink r:id="rId91" ref="E106"/>
    <hyperlink r:id="rId92" ref="E107"/>
    <hyperlink r:id="rId93" ref="E108"/>
    <hyperlink r:id="rId94" ref="E109"/>
    <hyperlink r:id="rId95" ref="E110"/>
    <hyperlink r:id="rId96" ref="E111"/>
    <hyperlink r:id="rId97" ref="E112"/>
    <hyperlink r:id="rId98" ref="E113"/>
    <hyperlink r:id="rId99" ref="E114"/>
    <hyperlink r:id="rId100" ref="E175"/>
    <hyperlink r:id="rId101" ref="E188"/>
  </hyperlinks>
  <drawing r:id="rId10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0" t="s">
        <v>1423</v>
      </c>
      <c r="B1" s="130" t="s">
        <v>1</v>
      </c>
      <c r="C1" s="130" t="s">
        <v>1424</v>
      </c>
      <c r="D1" s="130" t="s">
        <v>1425</v>
      </c>
      <c r="E1" s="130" t="s">
        <v>1426</v>
      </c>
      <c r="F1" s="130" t="s">
        <v>1427</v>
      </c>
      <c r="G1" s="130" t="s">
        <v>1428</v>
      </c>
      <c r="H1" s="130" t="s">
        <v>1429</v>
      </c>
      <c r="I1" s="130" t="s">
        <v>447</v>
      </c>
    </row>
    <row r="2">
      <c r="A2" s="134">
        <v>46178.22916666667</v>
      </c>
      <c r="B2" s="130" t="s">
        <v>372</v>
      </c>
      <c r="C2" s="130" t="s">
        <v>1430</v>
      </c>
      <c r="D2" s="130" t="s">
        <v>457</v>
      </c>
      <c r="E2" s="130" t="s">
        <v>1431</v>
      </c>
      <c r="F2" s="130">
        <v>1.0</v>
      </c>
      <c r="H2" s="130">
        <v>0.0</v>
      </c>
      <c r="I2" s="130" t="s">
        <v>89</v>
      </c>
    </row>
    <row r="3">
      <c r="A3" s="134">
        <v>46181.22916666667</v>
      </c>
      <c r="B3" s="130" t="s">
        <v>432</v>
      </c>
      <c r="C3" s="130" t="s">
        <v>1432</v>
      </c>
      <c r="D3" s="130" t="s">
        <v>762</v>
      </c>
      <c r="E3" s="130" t="s">
        <v>1433</v>
      </c>
      <c r="F3" s="130">
        <v>2.0</v>
      </c>
      <c r="I3" s="130" t="s">
        <v>89</v>
      </c>
    </row>
    <row r="4">
      <c r="A4" s="134">
        <v>46181.22916666667</v>
      </c>
      <c r="B4" s="130" t="s">
        <v>442</v>
      </c>
      <c r="C4" s="130" t="s">
        <v>1430</v>
      </c>
      <c r="D4" s="130" t="s">
        <v>457</v>
      </c>
      <c r="E4" s="130" t="s">
        <v>1434</v>
      </c>
      <c r="F4" s="130">
        <v>1.0</v>
      </c>
      <c r="H4" s="130"/>
      <c r="I4" s="130"/>
    </row>
    <row r="5">
      <c r="A5" s="134">
        <v>46181.22916666667</v>
      </c>
      <c r="B5" s="130" t="s">
        <v>372</v>
      </c>
      <c r="C5" s="130" t="s">
        <v>1435</v>
      </c>
      <c r="D5" s="130" t="s">
        <v>1436</v>
      </c>
      <c r="E5" s="130" t="s">
        <v>1437</v>
      </c>
      <c r="F5" s="130">
        <v>3.0</v>
      </c>
      <c r="H5" s="130">
        <v>0.0</v>
      </c>
      <c r="I5" s="130" t="s">
        <v>89</v>
      </c>
    </row>
    <row r="6">
      <c r="A6" s="134">
        <v>46179.22916666667</v>
      </c>
      <c r="B6" s="130" t="s">
        <v>372</v>
      </c>
      <c r="C6" s="130" t="s">
        <v>1435</v>
      </c>
      <c r="D6" s="130" t="s">
        <v>457</v>
      </c>
      <c r="E6" s="130" t="s">
        <v>1438</v>
      </c>
      <c r="F6" s="130">
        <v>1.0</v>
      </c>
      <c r="G6" s="130">
        <v>2.0</v>
      </c>
      <c r="H6" s="130">
        <v>0.0</v>
      </c>
      <c r="I6" s="130" t="s">
        <v>89</v>
      </c>
    </row>
    <row r="7">
      <c r="A7" s="134">
        <v>46181.22916666667</v>
      </c>
      <c r="B7" s="130" t="s">
        <v>348</v>
      </c>
      <c r="C7" s="130" t="s">
        <v>1439</v>
      </c>
      <c r="D7" s="130" t="s">
        <v>474</v>
      </c>
      <c r="E7" s="130" t="s">
        <v>1440</v>
      </c>
      <c r="F7" s="130">
        <v>1.0</v>
      </c>
      <c r="G7" s="130">
        <v>0.0</v>
      </c>
      <c r="H7" s="130">
        <v>0.0</v>
      </c>
      <c r="I7" s="130" t="s">
        <v>89</v>
      </c>
    </row>
    <row r="8">
      <c r="A8" s="134">
        <v>46181.22916666667</v>
      </c>
      <c r="B8" s="130" t="s">
        <v>390</v>
      </c>
      <c r="C8" s="130" t="s">
        <v>1441</v>
      </c>
      <c r="D8" s="130" t="s">
        <v>1442</v>
      </c>
      <c r="E8" s="130" t="s">
        <v>1443</v>
      </c>
      <c r="F8" s="130">
        <v>1.0</v>
      </c>
      <c r="G8" s="130">
        <v>0.0</v>
      </c>
      <c r="H8" s="130">
        <v>0.0</v>
      </c>
      <c r="I8" s="130" t="s">
        <v>89</v>
      </c>
    </row>
    <row r="9">
      <c r="A9" s="134">
        <v>46181.22916666667</v>
      </c>
      <c r="B9" s="130" t="s">
        <v>372</v>
      </c>
      <c r="C9" s="130" t="s">
        <v>1444</v>
      </c>
      <c r="D9" s="130" t="s">
        <v>457</v>
      </c>
      <c r="E9" s="130" t="s">
        <v>1445</v>
      </c>
      <c r="F9" s="130">
        <v>0.0</v>
      </c>
      <c r="G9" s="130">
        <v>0.0</v>
      </c>
      <c r="H9" s="130">
        <v>0.0</v>
      </c>
      <c r="I9" s="130" t="s">
        <v>89</v>
      </c>
    </row>
    <row r="10">
      <c r="A10" s="134">
        <v>46181.22916666667</v>
      </c>
      <c r="B10" s="130" t="s">
        <v>332</v>
      </c>
      <c r="C10" s="130" t="s">
        <v>1444</v>
      </c>
      <c r="D10" s="130" t="s">
        <v>457</v>
      </c>
      <c r="E10" s="130" t="s">
        <v>1446</v>
      </c>
      <c r="F10" s="130">
        <v>0.0</v>
      </c>
      <c r="G10" s="130">
        <v>0.0</v>
      </c>
      <c r="H10" s="130">
        <v>0.0</v>
      </c>
      <c r="I10" s="130" t="s">
        <v>89</v>
      </c>
    </row>
    <row r="11">
      <c r="A11" s="134">
        <v>46179.22916666667</v>
      </c>
      <c r="B11" s="130" t="s">
        <v>332</v>
      </c>
      <c r="C11" s="130" t="s">
        <v>1430</v>
      </c>
      <c r="D11" s="130" t="s">
        <v>474</v>
      </c>
      <c r="E11" s="130" t="s">
        <v>1447</v>
      </c>
      <c r="F11" s="130">
        <v>1.0</v>
      </c>
      <c r="G11" s="130">
        <v>0.0</v>
      </c>
      <c r="H11" s="130">
        <v>0.0</v>
      </c>
      <c r="I11" s="130" t="s">
        <v>89</v>
      </c>
    </row>
    <row r="12">
      <c r="A12" s="134">
        <v>46182.22916666667</v>
      </c>
      <c r="B12" s="130" t="s">
        <v>332</v>
      </c>
      <c r="C12" s="130" t="s">
        <v>1444</v>
      </c>
      <c r="D12" s="130" t="s">
        <v>457</v>
      </c>
      <c r="E12" s="130" t="s">
        <v>1448</v>
      </c>
      <c r="F12" s="130">
        <v>0.0</v>
      </c>
      <c r="G12" s="130">
        <v>0.0</v>
      </c>
      <c r="H12" s="130">
        <v>0.0</v>
      </c>
      <c r="I12" s="130" t="s">
        <v>89</v>
      </c>
    </row>
    <row r="13">
      <c r="A13" s="134">
        <v>46150.22916666667</v>
      </c>
      <c r="B13" s="130" t="s">
        <v>285</v>
      </c>
      <c r="C13" s="130" t="s">
        <v>1439</v>
      </c>
      <c r="D13" s="130" t="s">
        <v>457</v>
      </c>
      <c r="E13" s="130" t="s">
        <v>1449</v>
      </c>
      <c r="F13" s="130">
        <v>0.0</v>
      </c>
    </row>
    <row r="14">
      <c r="A14" s="134">
        <v>46153.22916666667</v>
      </c>
      <c r="B14" s="130" t="s">
        <v>285</v>
      </c>
      <c r="C14" s="130" t="s">
        <v>1439</v>
      </c>
      <c r="D14" s="130" t="s">
        <v>457</v>
      </c>
      <c r="E14" s="130" t="s">
        <v>1450</v>
      </c>
    </row>
    <row r="15">
      <c r="A15" s="134">
        <v>46157.22916666667</v>
      </c>
      <c r="B15" s="130" t="s">
        <v>285</v>
      </c>
      <c r="C15" s="130" t="s">
        <v>1439</v>
      </c>
      <c r="D15" s="130" t="s">
        <v>457</v>
      </c>
      <c r="E15" s="130" t="s">
        <v>1451</v>
      </c>
    </row>
    <row r="16">
      <c r="A16" s="134">
        <v>46182.22916666667</v>
      </c>
      <c r="B16" s="130" t="s">
        <v>285</v>
      </c>
      <c r="C16" s="130" t="s">
        <v>1452</v>
      </c>
      <c r="D16" s="130" t="s">
        <v>457</v>
      </c>
      <c r="E16" s="130" t="s">
        <v>1453</v>
      </c>
      <c r="F16" s="130">
        <v>0.0</v>
      </c>
      <c r="G16" s="130">
        <v>0.0</v>
      </c>
      <c r="H16" s="130">
        <v>0.0</v>
      </c>
      <c r="I16" s="130" t="s">
        <v>89</v>
      </c>
    </row>
    <row r="17">
      <c r="A17" s="134">
        <v>46182.22916666667</v>
      </c>
      <c r="B17" s="130" t="s">
        <v>420</v>
      </c>
      <c r="C17" s="130" t="s">
        <v>1444</v>
      </c>
      <c r="D17" s="130" t="s">
        <v>457</v>
      </c>
      <c r="E17" s="130" t="s">
        <v>1454</v>
      </c>
      <c r="F17" s="130">
        <v>0.0</v>
      </c>
      <c r="G17" s="130">
        <v>0.0</v>
      </c>
      <c r="H17" s="130">
        <v>0.0</v>
      </c>
      <c r="I17" s="130" t="s">
        <v>89</v>
      </c>
    </row>
    <row r="18">
      <c r="A18" s="134">
        <v>46182.22916666667</v>
      </c>
      <c r="B18" s="130" t="s">
        <v>318</v>
      </c>
      <c r="C18" s="130" t="s">
        <v>1439</v>
      </c>
      <c r="D18" s="130" t="s">
        <v>486</v>
      </c>
      <c r="E18" s="130" t="s">
        <v>1455</v>
      </c>
      <c r="F18" s="130">
        <v>1.0</v>
      </c>
      <c r="G18" s="130">
        <v>0.0</v>
      </c>
      <c r="H18" s="130">
        <v>0.0</v>
      </c>
      <c r="I18" s="130" t="s">
        <v>1456</v>
      </c>
    </row>
    <row r="19">
      <c r="A19" s="134">
        <v>46173.22916666667</v>
      </c>
      <c r="B19" s="130" t="s">
        <v>414</v>
      </c>
      <c r="C19" s="130" t="s">
        <v>1435</v>
      </c>
      <c r="D19" s="130" t="s">
        <v>457</v>
      </c>
      <c r="E19" s="130" t="s">
        <v>1457</v>
      </c>
      <c r="F19" s="130">
        <v>1.0</v>
      </c>
      <c r="G19" s="130">
        <v>0.0</v>
      </c>
      <c r="H19" s="130">
        <v>2.0</v>
      </c>
      <c r="I19" s="130" t="s">
        <v>89</v>
      </c>
    </row>
    <row r="20">
      <c r="A20" s="134">
        <v>46157.22916666667</v>
      </c>
      <c r="B20" s="130" t="s">
        <v>414</v>
      </c>
      <c r="C20" s="130" t="s">
        <v>1458</v>
      </c>
      <c r="D20" s="130" t="s">
        <v>457</v>
      </c>
      <c r="E20" s="130" t="s">
        <v>1459</v>
      </c>
      <c r="F20" s="130">
        <v>1.0</v>
      </c>
      <c r="G20" s="130">
        <v>0.0</v>
      </c>
      <c r="H20" s="130">
        <v>0.0</v>
      </c>
      <c r="I20" s="130" t="s">
        <v>89</v>
      </c>
    </row>
    <row r="21">
      <c r="A21" s="134">
        <v>46158.22916666667</v>
      </c>
      <c r="B21" s="130" t="s">
        <v>414</v>
      </c>
      <c r="C21" s="130" t="s">
        <v>1458</v>
      </c>
      <c r="D21" s="130" t="s">
        <v>457</v>
      </c>
      <c r="E21" s="130" t="s">
        <v>1460</v>
      </c>
      <c r="F21" s="130">
        <v>1.0</v>
      </c>
      <c r="G21" s="130">
        <v>0.0</v>
      </c>
      <c r="H21" s="130">
        <v>0.0</v>
      </c>
      <c r="I21" s="130" t="s">
        <v>89</v>
      </c>
    </row>
    <row r="22">
      <c r="A22" s="134">
        <v>46169.22916666667</v>
      </c>
      <c r="B22" s="130" t="s">
        <v>414</v>
      </c>
      <c r="C22" s="130" t="s">
        <v>1458</v>
      </c>
      <c r="D22" s="130" t="s">
        <v>457</v>
      </c>
      <c r="E22" s="130" t="s">
        <v>1461</v>
      </c>
      <c r="F22" s="130">
        <v>1.0</v>
      </c>
      <c r="G22" s="130">
        <v>0.0</v>
      </c>
      <c r="H22" s="130">
        <v>0.0</v>
      </c>
      <c r="I22" s="130" t="s">
        <v>89</v>
      </c>
    </row>
    <row r="23">
      <c r="A23" s="134">
        <v>46170.22916666667</v>
      </c>
      <c r="B23" s="130" t="s">
        <v>414</v>
      </c>
      <c r="C23" s="130" t="s">
        <v>1444</v>
      </c>
      <c r="D23" s="130" t="s">
        <v>457</v>
      </c>
      <c r="E23" s="130" t="s">
        <v>1462</v>
      </c>
      <c r="F23" s="130">
        <v>1.0</v>
      </c>
      <c r="G23" s="130">
        <v>0.0</v>
      </c>
      <c r="H23" s="130">
        <v>0.0</v>
      </c>
      <c r="I23" s="130" t="s">
        <v>89</v>
      </c>
    </row>
    <row r="24">
      <c r="A24" s="134">
        <v>46182.22916666667</v>
      </c>
      <c r="B24" s="130" t="s">
        <v>414</v>
      </c>
      <c r="C24" s="130" t="s">
        <v>1435</v>
      </c>
      <c r="D24" s="130" t="s">
        <v>1463</v>
      </c>
      <c r="E24" s="130" t="s">
        <v>1464</v>
      </c>
      <c r="F24" s="130">
        <v>1.0</v>
      </c>
      <c r="G24" s="130"/>
      <c r="H24" s="130">
        <v>5.0</v>
      </c>
      <c r="I24" s="130" t="s">
        <v>89</v>
      </c>
    </row>
    <row r="25">
      <c r="A25" s="134">
        <v>46182.22916666667</v>
      </c>
      <c r="B25" s="130" t="s">
        <v>318</v>
      </c>
      <c r="C25" s="130" t="s">
        <v>1452</v>
      </c>
      <c r="D25" s="130" t="s">
        <v>457</v>
      </c>
      <c r="E25" s="130" t="s">
        <v>1465</v>
      </c>
      <c r="F25" s="130">
        <v>1.0</v>
      </c>
      <c r="G25" s="130">
        <v>0.0</v>
      </c>
      <c r="H25" s="130">
        <v>0.0</v>
      </c>
      <c r="I25" s="130" t="s">
        <v>89</v>
      </c>
    </row>
  </sheetData>
  <drawing r:id="rId1"/>
</worksheet>
</file>